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y Collection" sheetId="1" state="visible" r:id="rId1"/>
    <sheet xmlns:r="http://schemas.openxmlformats.org/officeDocument/2006/relationships" name="Missing Cards" sheetId="2" state="visible" r:id="rId2"/>
    <sheet xmlns:r="http://schemas.openxmlformats.org/officeDocument/2006/relationships" name="All Cards" sheetId="3" state="visible" r:id="rId3"/>
    <sheet xmlns:r="http://schemas.openxmlformats.org/officeDocument/2006/relationships" name="Sim - Azir Final" sheetId="4" state="visible" r:id="rId4"/>
    <sheet xmlns:r="http://schemas.openxmlformats.org/officeDocument/2006/relationships" name="Sim - Engine Results" sheetId="5" state="visible" r:id="rId5"/>
    <sheet xmlns:r="http://schemas.openxmlformats.org/officeDocument/2006/relationships" name="Deck - Teemo" sheetId="6" state="visible" r:id="rId6"/>
    <sheet xmlns:r="http://schemas.openxmlformats.org/officeDocument/2006/relationships" name="Meta Overview" sheetId="7" state="visible" r:id="rId7"/>
    <sheet xmlns:r="http://schemas.openxmlformats.org/officeDocument/2006/relationships" name="Wishlist - Good Deals" sheetId="8" state="visible" r:id="rId8"/>
    <sheet xmlns:r="http://schemas.openxmlformats.org/officeDocument/2006/relationships" name="Threat Timeline" sheetId="9" state="visible" r:id="rId9"/>
    <sheet xmlns:r="http://schemas.openxmlformats.org/officeDocument/2006/relationships" name="Deck - Azir Final" sheetId="10" state="visible" r:id="rId10"/>
    <sheet xmlns:r="http://schemas.openxmlformats.org/officeDocument/2006/relationships" name="Probability Tables" sheetId="11" state="visible" r:id="rId11"/>
    <sheet xmlns:r="http://schemas.openxmlformats.org/officeDocument/2006/relationships" name="Deck - Volibear" sheetId="12" state="visible" r:id="rId12"/>
    <sheet xmlns:r="http://schemas.openxmlformats.org/officeDocument/2006/relationships" name="Matchup Math" sheetId="13" state="visible" r:id="rId13"/>
    <sheet xmlns:r="http://schemas.openxmlformats.org/officeDocument/2006/relationships" name="Buy List &amp; Gap Analysis" sheetId="14" state="visible" r:id="rId14"/>
    <sheet xmlns:r="http://schemas.openxmlformats.org/officeDocument/2006/relationships" name="Deck - Miss Fortune" sheetId="15" state="visible" r:id="rId15"/>
    <sheet xmlns:r="http://schemas.openxmlformats.org/officeDocument/2006/relationships" name="Deck - Draven" sheetId="16" state="visible" r:id="rId16"/>
    <sheet xmlns:r="http://schemas.openxmlformats.org/officeDocument/2006/relationships" name="Sim - All Decks" sheetId="17" state="visible" r:id="rId17"/>
  </sheets>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Arial"/>
      <b val="1"/>
      <color rgb="00FFFFFF"/>
      <sz val="10"/>
    </font>
    <font>
      <name val="Arial"/>
      <b val="1"/>
      <sz val="9"/>
    </font>
    <font>
      <name val="Arial"/>
      <sz val="9"/>
    </font>
    <font>
      <name val="Arial"/>
      <b val="1"/>
      <color rgb="00FFFFFF"/>
      <sz val="12"/>
    </font>
    <font>
      <name val="Arial"/>
      <b val="1"/>
      <sz val="10"/>
    </font>
    <font>
      <name val="Arial"/>
      <b val="1"/>
      <color rgb="00FFFFFF"/>
      <sz val="9"/>
    </font>
    <font>
      <name val="Arial"/>
      <b val="1"/>
      <color rgb="00FFFFFF"/>
      <sz val="8"/>
    </font>
    <font>
      <name val="Arial"/>
      <b val="1"/>
      <color rgb="00000000"/>
      <sz val="9"/>
    </font>
    <font>
      <name val="Arial"/>
      <color rgb="00000000"/>
      <sz val="9"/>
    </font>
    <font>
      <name val="Arial"/>
      <color rgb="00FFFFFF"/>
      <sz val="9"/>
    </font>
    <font>
      <name val="Arial"/>
      <b val="1"/>
      <color rgb="00B71C1C"/>
      <sz val="9"/>
    </font>
    <font>
      <name val="Arial"/>
      <b val="1"/>
      <color rgb="001B5E20"/>
      <sz val="9"/>
    </font>
    <font>
      <name val="Arial"/>
      <color rgb="00FFFFFF"/>
      <sz val="8"/>
    </font>
    <font>
      <name val="Arial"/>
      <color rgb="00000000"/>
      <sz val="8"/>
    </font>
    <font>
      <name val="Arial"/>
      <b val="1"/>
      <color rgb="00FFFFFF"/>
      <sz val="11"/>
    </font>
    <font>
      <name val="Arial"/>
      <i val="1"/>
      <color rgb="00E65100"/>
      <sz val="9"/>
    </font>
    <font>
      <name val="Arial"/>
      <i val="1"/>
      <color rgb="00000000"/>
      <sz val="9"/>
    </font>
    <font>
      <name val="Arial"/>
      <color rgb="00999999"/>
      <sz val="9"/>
    </font>
    <font>
      <name val="Arial"/>
      <i val="1"/>
      <color rgb="00FFFFFF"/>
      <sz val="9"/>
    </font>
    <font>
      <name val="Arial"/>
      <color rgb="00E8EAF6"/>
      <sz val="9"/>
    </font>
    <font>
      <name val="Arial"/>
      <i val="1"/>
      <color rgb="00AAAAAA"/>
      <sz val="9"/>
    </font>
  </fonts>
  <fills count="87">
    <fill>
      <patternFill/>
    </fill>
    <fill>
      <patternFill patternType="gray125"/>
    </fill>
    <fill>
      <patternFill patternType="solid">
        <fgColor rgb="001A1A2E"/>
      </patternFill>
    </fill>
    <fill>
      <patternFill patternType="solid">
        <fgColor rgb="00FFCCBC"/>
      </patternFill>
    </fill>
    <fill>
      <patternFill patternType="solid">
        <fgColor rgb="00C8E6C9"/>
      </patternFill>
    </fill>
    <fill>
      <patternFill patternType="solid">
        <fgColor rgb="00BBDEFB"/>
      </patternFill>
    </fill>
    <fill>
      <patternFill patternType="solid">
        <fgColor rgb="00FFE0B2"/>
      </patternFill>
    </fill>
    <fill>
      <patternFill patternType="solid">
        <fgColor rgb="00E1BEE7"/>
      </patternFill>
    </fill>
    <fill>
      <patternFill patternType="solid">
        <fgColor rgb="00FFF9C4"/>
      </patternFill>
    </fill>
    <fill>
      <patternFill patternType="solid">
        <fgColor rgb="00EEEEEE"/>
      </patternFill>
    </fill>
    <fill>
      <patternFill patternType="solid">
        <fgColor rgb="00F5F5F5"/>
      </patternFill>
    </fill>
    <fill>
      <patternFill patternType="solid">
        <fgColor rgb="002C2C54"/>
      </patternFill>
    </fill>
    <fill>
      <patternFill patternType="solid">
        <fgColor rgb="006B1A1A"/>
      </patternFill>
    </fill>
    <fill>
      <patternFill patternType="solid">
        <fgColor rgb="003D0F0F"/>
      </patternFill>
    </fill>
    <fill>
      <patternFill patternType="solid">
        <fgColor rgb="004A235A"/>
      </patternFill>
    </fill>
    <fill>
      <patternFill patternType="solid">
        <fgColor rgb="001A3A5A"/>
      </patternFill>
    </fill>
    <fill>
      <patternFill patternType="solid">
        <fgColor rgb="001A4A2A"/>
      </patternFill>
    </fill>
    <fill>
      <patternFill patternType="solid">
        <fgColor rgb="000D2B16"/>
      </patternFill>
    </fill>
    <fill>
      <patternFill patternType="solid">
        <fgColor rgb="003D0000"/>
      </patternFill>
    </fill>
    <fill>
      <patternFill patternType="solid">
        <fgColor rgb="00FDECEA"/>
      </patternFill>
    </fill>
    <fill>
      <patternFill patternType="solid">
        <fgColor rgb="00FFF3E0"/>
      </patternFill>
    </fill>
    <fill>
      <patternFill patternType="solid">
        <fgColor rgb="00E8F5E9"/>
      </patternFill>
    </fill>
    <fill>
      <patternFill patternType="solid">
        <fgColor rgb="00E3F2FD"/>
      </patternFill>
    </fill>
    <fill>
      <patternFill patternType="solid">
        <fgColor rgb="00F3E5F5"/>
      </patternFill>
    </fill>
    <fill>
      <patternFill patternType="solid">
        <fgColor rgb="00FFFDE7"/>
      </patternFill>
    </fill>
    <fill>
      <patternFill patternType="solid">
        <fgColor rgb="00B71C1C"/>
      </patternFill>
    </fill>
    <fill>
      <patternFill patternType="solid">
        <fgColor rgb="00444444"/>
      </patternFill>
    </fill>
    <fill>
      <patternFill patternType="solid">
        <fgColor rgb="00FFFFFF"/>
      </patternFill>
    </fill>
    <fill>
      <patternFill patternType="solid">
        <fgColor rgb="001B5E20"/>
      </patternFill>
    </fill>
    <fill>
      <patternFill patternType="solid">
        <fgColor rgb="000D47A1"/>
      </patternFill>
    </fill>
    <fill>
      <patternFill patternType="solid">
        <fgColor rgb="00FFCDD2"/>
      </patternFill>
    </fill>
    <fill>
      <patternFill patternType="solid">
        <fgColor rgb="00FFECB3"/>
      </patternFill>
    </fill>
    <fill>
      <patternFill patternType="solid">
        <fgColor rgb="00263238"/>
      </patternFill>
    </fill>
    <fill>
      <patternFill patternType="solid">
        <fgColor rgb="0037474F"/>
      </patternFill>
    </fill>
    <fill>
      <patternFill patternType="solid">
        <fgColor rgb="00E64A19"/>
      </patternFill>
    </fill>
    <fill>
      <patternFill patternType="solid">
        <fgColor rgb="00F57F17"/>
      </patternFill>
    </fill>
    <fill>
      <patternFill patternType="solid">
        <fgColor rgb="00555555"/>
      </patternFill>
    </fill>
    <fill>
      <patternFill patternType="solid">
        <fgColor rgb="004A0E0E"/>
      </patternFill>
    </fill>
    <fill>
      <patternFill patternType="solid">
        <fgColor rgb="001A237E"/>
      </patternFill>
    </fill>
    <fill>
      <patternFill patternType="solid">
        <fgColor rgb="00283593"/>
      </patternFill>
    </fill>
    <fill>
      <patternFill patternType="solid">
        <fgColor rgb="002E7D32"/>
      </patternFill>
    </fill>
    <fill>
      <patternFill patternType="solid">
        <fgColor rgb="004A148C"/>
      </patternFill>
    </fill>
    <fill>
      <patternFill patternType="solid">
        <fgColor rgb="005E35B1"/>
      </patternFill>
    </fill>
    <fill>
      <patternFill patternType="solid">
        <fgColor rgb="00E65100"/>
      </patternFill>
    </fill>
    <fill>
      <patternFill patternType="solid">
        <fgColor rgb="0000695C"/>
      </patternFill>
    </fill>
    <fill>
      <patternFill patternType="solid">
        <fgColor rgb="004E0000"/>
      </patternFill>
    </fill>
    <fill>
      <patternFill patternType="solid">
        <fgColor rgb="007B0000"/>
      </patternFill>
    </fill>
    <fill>
      <patternFill patternType="solid">
        <fgColor rgb="00BF360C"/>
      </patternFill>
    </fill>
    <fill>
      <patternFill patternType="solid">
        <fgColor rgb="001A0033"/>
      </patternFill>
    </fill>
    <fill>
      <patternFill patternType="solid">
        <fgColor rgb="002D0052"/>
      </patternFill>
    </fill>
    <fill>
      <patternFill patternType="solid">
        <fgColor rgb="00ECEFF1"/>
      </patternFill>
    </fill>
    <fill>
      <patternFill patternType="solid">
        <fgColor rgb="006A1B9A"/>
      </patternFill>
    </fill>
    <fill>
      <patternFill patternType="solid">
        <fgColor rgb="000D1B2A"/>
      </patternFill>
    </fill>
    <fill>
      <patternFill patternType="solid">
        <fgColor rgb="00F8F8F8"/>
      </patternFill>
    </fill>
    <fill>
      <patternFill patternType="solid">
        <fgColor rgb="001C3A5E"/>
      </patternFill>
    </fill>
    <fill>
      <patternFill patternType="solid">
        <fgColor rgb="00A5D6A7"/>
      </patternFill>
    </fill>
    <fill>
      <patternFill patternType="solid">
        <fgColor rgb="000D3320"/>
      </patternFill>
    </fill>
    <fill>
      <patternFill patternType="solid">
        <fgColor rgb="001A5C35"/>
      </patternFill>
    </fill>
    <fill>
      <patternFill patternType="solid">
        <fgColor rgb="001A3A2A"/>
      </patternFill>
    </fill>
    <fill>
      <patternFill patternType="solid">
        <fgColor rgb="008B0000"/>
      </patternFill>
    </fill>
    <fill>
      <patternFill patternType="solid">
        <fgColor rgb="00333333"/>
      </patternFill>
    </fill>
    <fill>
      <patternFill patternType="solid">
        <fgColor rgb="00FFF5F5"/>
      </patternFill>
    </fill>
    <fill>
      <patternFill patternType="solid">
        <fgColor rgb="00C62828"/>
      </patternFill>
    </fill>
    <fill>
      <patternFill patternType="solid">
        <fgColor rgb="00D32F2F"/>
      </patternFill>
    </fill>
    <fill>
      <patternFill patternType="solid">
        <fgColor rgb="006D0000"/>
      </patternFill>
    </fill>
    <fill>
      <patternFill patternType="solid">
        <fgColor rgb="00F8BBD0"/>
      </patternFill>
    </fill>
    <fill>
      <patternFill patternType="solid">
        <fgColor rgb="005D0000"/>
      </patternFill>
    </fill>
    <fill>
      <patternFill patternType="solid">
        <fgColor rgb="001A2A34"/>
      </patternFill>
    </fill>
    <fill>
      <patternFill patternType="solid">
        <fgColor rgb="00FAFAFA"/>
      </patternFill>
    </fill>
    <fill>
      <patternFill patternType="solid">
        <fgColor rgb="001B3A4A"/>
      </patternFill>
    </fill>
    <fill>
      <patternFill patternType="solid">
        <fgColor rgb="00F1F8E9"/>
      </patternFill>
    </fill>
    <fill>
      <patternFill patternType="solid">
        <fgColor rgb="000D2B52"/>
      </patternFill>
    </fill>
    <fill>
      <patternFill patternType="solid">
        <fgColor rgb="001565C0"/>
      </patternFill>
    </fill>
    <fill>
      <patternFill patternType="solid">
        <fgColor rgb="005D0037"/>
      </patternFill>
    </fill>
    <fill>
      <patternFill patternType="solid">
        <fgColor rgb="00880E4F"/>
      </patternFill>
    </fill>
    <fill>
      <patternFill patternType="solid">
        <fgColor rgb="00FCE4EC"/>
      </patternFill>
    </fill>
    <fill>
      <patternFill patternType="solid">
        <fgColor rgb="0016213E"/>
      </patternFill>
    </fill>
    <fill>
      <patternFill patternType="solid">
        <fgColor rgb="000F3460"/>
      </patternFill>
    </fill>
    <fill>
      <patternFill patternType="solid">
        <fgColor rgb="00FFFF99"/>
      </patternFill>
    </fill>
    <fill>
      <patternFill patternType="solid">
        <fgColor rgb="00FFF8E1"/>
      </patternFill>
    </fill>
    <fill>
      <patternFill patternType="solid">
        <fgColor rgb="00222222"/>
      </patternFill>
    </fill>
    <fill>
      <patternFill patternType="solid">
        <fgColor rgb="00EDE7F6"/>
      </patternFill>
    </fill>
    <fill>
      <patternFill patternType="solid">
        <fgColor rgb="00E8EAF6"/>
      </patternFill>
    </fill>
    <fill>
      <patternFill patternType="solid">
        <fgColor rgb="00162447"/>
      </patternFill>
    </fill>
    <fill>
      <patternFill patternType="solid">
        <fgColor rgb="00FFD700"/>
      </patternFill>
    </fill>
    <fill>
      <patternFill patternType="solid">
        <fgColor rgb="00C0C0C0"/>
      </patternFill>
    </fill>
    <fill>
      <patternFill patternType="solid">
        <fgColor rgb="00F0F0F0"/>
      </patternFill>
    </fill>
  </fills>
  <borders count="5">
    <border>
      <left/>
      <right/>
      <top/>
      <bottom/>
      <diagonal/>
    </border>
    <border>
      <right style="thin">
        <color rgb="00CCCCCC"/>
      </right>
      <bottom style="thin">
        <color rgb="00CCCCCC"/>
      </bottom>
    </border>
    <border>
      <left/>
      <right style="thin">
        <color rgb="00CCCCCC"/>
      </right>
      <top/>
      <bottom/>
      <diagonal/>
    </border>
    <border>
      <left/>
      <right/>
      <top/>
      <bottom style="thin">
        <color rgb="00CCCCCC"/>
      </bottom>
      <diagonal/>
    </border>
    <border>
      <left/>
      <right style="thin">
        <color rgb="00CCCCCC"/>
      </right>
      <top/>
      <bottom style="thin">
        <color rgb="00CCCCCC"/>
      </bottom>
      <diagonal/>
    </border>
  </borders>
  <cellStyleXfs count="1">
    <xf numFmtId="0" fontId="0" fillId="0" borderId="0"/>
  </cellStyleXfs>
  <cellXfs count="852">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vertical="center"/>
    </xf>
    <xf numFmtId="0" fontId="2" fillId="3" borderId="1" applyAlignment="1" pivotButton="0" quotePrefix="0" xfId="0">
      <alignment vertical="center" wrapText="1"/>
    </xf>
    <xf numFmtId="0" fontId="2" fillId="4" borderId="1" applyAlignment="1" pivotButton="0" quotePrefix="0" xfId="0">
      <alignment vertical="center"/>
    </xf>
    <xf numFmtId="0" fontId="2" fillId="4" borderId="1" applyAlignment="1" pivotButton="0" quotePrefix="0" xfId="0">
      <alignment vertical="center" wrapText="1"/>
    </xf>
    <xf numFmtId="0" fontId="2" fillId="5" borderId="1" applyAlignment="1" pivotButton="0" quotePrefix="0" xfId="0">
      <alignment vertical="center"/>
    </xf>
    <xf numFmtId="0" fontId="2" fillId="5" borderId="1" applyAlignment="1" pivotButton="0" quotePrefix="0" xfId="0">
      <alignment vertical="center" wrapText="1"/>
    </xf>
    <xf numFmtId="0" fontId="2" fillId="6" borderId="1" applyAlignment="1" pivotButton="0" quotePrefix="0" xfId="0">
      <alignment vertical="center"/>
    </xf>
    <xf numFmtId="0" fontId="2" fillId="6" borderId="1" applyAlignment="1" pivotButton="0" quotePrefix="0" xfId="0">
      <alignment vertical="center" wrapText="1"/>
    </xf>
    <xf numFmtId="0" fontId="2" fillId="7" borderId="1" applyAlignment="1" pivotButton="0" quotePrefix="0" xfId="0">
      <alignment vertical="center"/>
    </xf>
    <xf numFmtId="0" fontId="2" fillId="7" borderId="1" applyAlignment="1" pivotButton="0" quotePrefix="0" xfId="0">
      <alignment vertical="center" wrapText="1"/>
    </xf>
    <xf numFmtId="0" fontId="2" fillId="8" borderId="1" applyAlignment="1" pivotButton="0" quotePrefix="0" xfId="0">
      <alignment vertical="center"/>
    </xf>
    <xf numFmtId="0" fontId="2" fillId="8" borderId="1" applyAlignment="1" pivotButton="0" quotePrefix="0" xfId="0">
      <alignment vertical="center" wrapText="1"/>
    </xf>
    <xf numFmtId="0" fontId="2" fillId="9" borderId="1" applyAlignment="1" pivotButton="0" quotePrefix="0" xfId="0">
      <alignment vertical="center"/>
    </xf>
    <xf numFmtId="0" fontId="2" fillId="9" borderId="1" applyAlignment="1" pivotButton="0" quotePrefix="0" xfId="0">
      <alignment vertical="center" wrapText="1"/>
    </xf>
    <xf numFmtId="0" fontId="3" fillId="3" borderId="1" applyAlignment="1" pivotButton="0" quotePrefix="0" xfId="0">
      <alignment vertical="center"/>
    </xf>
    <xf numFmtId="0" fontId="3" fillId="3" borderId="1" applyAlignment="1" pivotButton="0" quotePrefix="0" xfId="0">
      <alignment vertical="center" wrapText="1"/>
    </xf>
    <xf numFmtId="0" fontId="3" fillId="4" borderId="1" applyAlignment="1" pivotButton="0" quotePrefix="0" xfId="0">
      <alignment vertical="center"/>
    </xf>
    <xf numFmtId="0" fontId="3" fillId="4" borderId="1" applyAlignment="1" pivotButton="0" quotePrefix="0" xfId="0">
      <alignment vertical="center" wrapText="1"/>
    </xf>
    <xf numFmtId="0" fontId="3" fillId="5" borderId="1" applyAlignment="1" pivotButton="0" quotePrefix="0" xfId="0">
      <alignment vertical="center"/>
    </xf>
    <xf numFmtId="0" fontId="3" fillId="5" borderId="1" applyAlignment="1" pivotButton="0" quotePrefix="0" xfId="0">
      <alignment vertical="center" wrapText="1"/>
    </xf>
    <xf numFmtId="0" fontId="3" fillId="6" borderId="1" applyAlignment="1" pivotButton="0" quotePrefix="0" xfId="0">
      <alignment vertical="center"/>
    </xf>
    <xf numFmtId="0" fontId="3" fillId="6" borderId="1" applyAlignment="1" pivotButton="0" quotePrefix="0" xfId="0">
      <alignment vertical="center" wrapText="1"/>
    </xf>
    <xf numFmtId="0" fontId="3" fillId="7" borderId="1" applyAlignment="1" pivotButton="0" quotePrefix="0" xfId="0">
      <alignment vertical="center"/>
    </xf>
    <xf numFmtId="0" fontId="3" fillId="7" borderId="1" applyAlignment="1" pivotButton="0" quotePrefix="0" xfId="0">
      <alignment vertical="center" wrapText="1"/>
    </xf>
    <xf numFmtId="0" fontId="3" fillId="8" borderId="1" applyAlignment="1" pivotButton="0" quotePrefix="0" xfId="0">
      <alignment vertical="center"/>
    </xf>
    <xf numFmtId="0" fontId="3" fillId="8" borderId="1" applyAlignment="1" pivotButton="0" quotePrefix="0" xfId="0">
      <alignment vertical="center" wrapText="1"/>
    </xf>
    <xf numFmtId="0" fontId="3" fillId="10" borderId="1" applyAlignment="1" pivotButton="0" quotePrefix="0" xfId="0">
      <alignment vertical="center"/>
    </xf>
    <xf numFmtId="0" fontId="3" fillId="10" borderId="1" applyAlignment="1" pivotButton="0" quotePrefix="0" xfId="0">
      <alignment vertical="center" wrapText="1"/>
    </xf>
    <xf numFmtId="0" fontId="3" fillId="9" borderId="1" applyAlignment="1" pivotButton="0" quotePrefix="0" xfId="0">
      <alignment vertical="center"/>
    </xf>
    <xf numFmtId="0" fontId="3" fillId="9" borderId="1" applyAlignment="1" pivotButton="0" quotePrefix="0" xfId="0">
      <alignment vertical="center" wrapText="1"/>
    </xf>
    <xf numFmtId="0" fontId="4" fillId="2" borderId="0" applyAlignment="1" pivotButton="0" quotePrefix="0" xfId="0">
      <alignment horizontal="center" vertical="center"/>
    </xf>
    <xf numFmtId="0" fontId="1" fillId="11" borderId="0" applyAlignment="1" pivotButton="0" quotePrefix="0" xfId="0">
      <alignment horizontal="center" vertical="center"/>
    </xf>
    <xf numFmtId="0" fontId="2" fillId="3" borderId="1" applyAlignment="1" pivotButton="0" quotePrefix="0" xfId="0">
      <alignment vertical="center"/>
    </xf>
    <xf numFmtId="0" fontId="2" fillId="6" borderId="1" applyAlignment="1" pivotButton="0" quotePrefix="0" xfId="0">
      <alignment vertical="center"/>
    </xf>
    <xf numFmtId="0" fontId="1" fillId="2" borderId="0" pivotButton="0" quotePrefix="0" xfId="0"/>
    <xf numFmtId="0" fontId="2" fillId="3" borderId="1" applyAlignment="1" pivotButton="0" quotePrefix="0" xfId="0">
      <alignment vertical="center"/>
    </xf>
    <xf numFmtId="0" fontId="2" fillId="6" borderId="1" applyAlignment="1" pivotButton="0" quotePrefix="0" xfId="0">
      <alignment vertical="center"/>
    </xf>
    <xf numFmtId="0" fontId="2" fillId="3" borderId="1" applyAlignment="1" pivotButton="0" quotePrefix="0" xfId="0">
      <alignment vertical="center"/>
    </xf>
    <xf numFmtId="0" fontId="2" fillId="6" borderId="1" applyAlignment="1" pivotButton="0" quotePrefix="0" xfId="0">
      <alignment vertical="center"/>
    </xf>
    <xf numFmtId="0" fontId="4" fillId="12" borderId="0" applyAlignment="1" pivotButton="0" quotePrefix="0" xfId="0">
      <alignment horizontal="center" vertical="center"/>
    </xf>
    <xf numFmtId="0" fontId="6" fillId="13" borderId="0" applyAlignment="1" pivotButton="0" quotePrefix="0" xfId="0">
      <alignment horizontal="center" vertical="center"/>
    </xf>
    <xf numFmtId="0" fontId="2" fillId="3" borderId="1" applyAlignment="1" pivotButton="0" quotePrefix="0" xfId="0">
      <alignment vertical="center"/>
    </xf>
    <xf numFmtId="0" fontId="2" fillId="7" borderId="1" applyAlignment="1" pivotButton="0" quotePrefix="0" xfId="0">
      <alignment vertical="center"/>
    </xf>
    <xf numFmtId="0" fontId="4" fillId="14" borderId="0" applyAlignment="1" pivotButton="0" quotePrefix="0" xfId="0">
      <alignment horizontal="center" vertical="center"/>
    </xf>
    <xf numFmtId="0" fontId="6" fillId="11" borderId="0" applyAlignment="1" pivotButton="0" quotePrefix="0" xfId="0">
      <alignment horizontal="center" vertical="center"/>
    </xf>
    <xf numFmtId="0" fontId="2" fillId="6" borderId="1" applyAlignment="1" pivotButton="0" quotePrefix="0" xfId="0">
      <alignment vertical="center"/>
    </xf>
    <xf numFmtId="0" fontId="2" fillId="8" borderId="1" applyAlignment="1" pivotButton="0" quotePrefix="0" xfId="0">
      <alignment vertical="center"/>
    </xf>
    <xf numFmtId="0" fontId="2" fillId="4" borderId="1" applyAlignment="1" pivotButton="0" quotePrefix="0" xfId="0">
      <alignment vertical="center"/>
    </xf>
    <xf numFmtId="0" fontId="4" fillId="15" borderId="0" applyAlignment="1" pivotButton="0" quotePrefix="0" xfId="0">
      <alignment horizontal="center" vertical="center"/>
    </xf>
    <xf numFmtId="0" fontId="2" fillId="7" borderId="1" applyAlignment="1" pivotButton="0" quotePrefix="0" xfId="0">
      <alignment vertical="center"/>
    </xf>
    <xf numFmtId="0" fontId="4" fillId="16" borderId="0" applyAlignment="1" pivotButton="0" quotePrefix="0" xfId="0">
      <alignment horizontal="center" vertical="center"/>
    </xf>
    <xf numFmtId="0" fontId="7" fillId="17" borderId="0" applyAlignment="1" pivotButton="0" quotePrefix="0" xfId="0">
      <alignment horizontal="center" vertical="center"/>
    </xf>
    <xf numFmtId="0" fontId="2" fillId="5" borderId="1" applyAlignment="1" pivotButton="0" quotePrefix="0" xfId="0">
      <alignment vertical="center"/>
    </xf>
    <xf numFmtId="0" fontId="2" fillId="7" borderId="1" applyAlignment="1" pivotButton="0" quotePrefix="0" xfId="0">
      <alignment vertical="center"/>
    </xf>
    <xf numFmtId="0" fontId="7" fillId="18" borderId="0" applyAlignment="1" pivotButton="0" quotePrefix="0" xfId="0">
      <alignment horizontal="center" vertical="center"/>
    </xf>
    <xf numFmtId="0" fontId="2" fillId="3" borderId="1" applyAlignment="1" pivotButton="0" quotePrefix="0" xfId="0">
      <alignment vertical="center"/>
    </xf>
    <xf numFmtId="0" fontId="2" fillId="8" borderId="1" applyAlignment="1" pivotButton="0" quotePrefix="0" xfId="0">
      <alignment vertical="center"/>
    </xf>
    <xf numFmtId="0" fontId="2" fillId="6" borderId="1" applyAlignment="1" pivotButton="0" quotePrefix="0" xfId="0">
      <alignment vertical="center"/>
    </xf>
    <xf numFmtId="0" fontId="6" fillId="2" borderId="1" applyAlignment="1" pivotButton="0" quotePrefix="0" xfId="0">
      <alignment horizontal="center" vertical="center"/>
    </xf>
    <xf numFmtId="0" fontId="8" fillId="19" borderId="1" applyAlignment="1" pivotButton="0" quotePrefix="0" xfId="0">
      <alignment horizontal="left" vertical="center"/>
    </xf>
    <xf numFmtId="0" fontId="9" fillId="19" borderId="1" applyAlignment="1" pivotButton="0" quotePrefix="0" xfId="0">
      <alignment horizontal="left" vertical="center"/>
    </xf>
    <xf numFmtId="0" fontId="9" fillId="19" borderId="1" applyAlignment="1" pivotButton="0" quotePrefix="0" xfId="0">
      <alignment horizontal="center" vertical="center"/>
    </xf>
    <xf numFmtId="0" fontId="8" fillId="19" borderId="1" applyAlignment="1" pivotButton="0" quotePrefix="0" xfId="0">
      <alignment horizontal="center" vertical="center"/>
    </xf>
    <xf numFmtId="0" fontId="9" fillId="19" borderId="1" applyAlignment="1" pivotButton="0" quotePrefix="0" xfId="0">
      <alignment horizontal="left" vertical="center" wrapText="1"/>
    </xf>
    <xf numFmtId="0" fontId="8" fillId="20" borderId="1" applyAlignment="1" pivotButton="0" quotePrefix="0" xfId="0">
      <alignment horizontal="left" vertical="center"/>
    </xf>
    <xf numFmtId="0" fontId="9" fillId="20" borderId="1" applyAlignment="1" pivotButton="0" quotePrefix="0" xfId="0">
      <alignment horizontal="left" vertical="center"/>
    </xf>
    <xf numFmtId="0" fontId="9" fillId="20" borderId="1" applyAlignment="1" pivotButton="0" quotePrefix="0" xfId="0">
      <alignment horizontal="center" vertical="center"/>
    </xf>
    <xf numFmtId="0" fontId="8" fillId="20" borderId="1" applyAlignment="1" pivotButton="0" quotePrefix="0" xfId="0">
      <alignment horizontal="center" vertical="center"/>
    </xf>
    <xf numFmtId="0" fontId="9" fillId="20" borderId="1" applyAlignment="1" pivotButton="0" quotePrefix="0" xfId="0">
      <alignment horizontal="left" vertical="center" wrapText="1"/>
    </xf>
    <xf numFmtId="0" fontId="8" fillId="21" borderId="1" applyAlignment="1" pivotButton="0" quotePrefix="0" xfId="0">
      <alignment horizontal="left" vertical="center"/>
    </xf>
    <xf numFmtId="0" fontId="9" fillId="21" borderId="1" applyAlignment="1" pivotButton="0" quotePrefix="0" xfId="0">
      <alignment horizontal="left" vertical="center"/>
    </xf>
    <xf numFmtId="0" fontId="9" fillId="21" borderId="1" applyAlignment="1" pivotButton="0" quotePrefix="0" xfId="0">
      <alignment horizontal="center" vertical="center"/>
    </xf>
    <xf numFmtId="0" fontId="8" fillId="21" borderId="1" applyAlignment="1" pivotButton="0" quotePrefix="0" xfId="0">
      <alignment horizontal="center" vertical="center"/>
    </xf>
    <xf numFmtId="0" fontId="9" fillId="21" borderId="1" applyAlignment="1" pivotButton="0" quotePrefix="0" xfId="0">
      <alignment horizontal="left" vertical="center" wrapText="1"/>
    </xf>
    <xf numFmtId="0" fontId="8" fillId="22" borderId="1" applyAlignment="1" pivotButton="0" quotePrefix="0" xfId="0">
      <alignment horizontal="left" vertical="center"/>
    </xf>
    <xf numFmtId="0" fontId="9" fillId="22" borderId="1" applyAlignment="1" pivotButton="0" quotePrefix="0" xfId="0">
      <alignment horizontal="left" vertical="center"/>
    </xf>
    <xf numFmtId="0" fontId="9" fillId="22" borderId="1" applyAlignment="1" pivotButton="0" quotePrefix="0" xfId="0">
      <alignment horizontal="center" vertical="center"/>
    </xf>
    <xf numFmtId="0" fontId="8" fillId="22" borderId="1" applyAlignment="1" pivotButton="0" quotePrefix="0" xfId="0">
      <alignment horizontal="center" vertical="center"/>
    </xf>
    <xf numFmtId="0" fontId="9" fillId="22" borderId="1" applyAlignment="1" pivotButton="0" quotePrefix="0" xfId="0">
      <alignment horizontal="left" vertical="center" wrapText="1"/>
    </xf>
    <xf numFmtId="0" fontId="8" fillId="23" borderId="1" applyAlignment="1" pivotButton="0" quotePrefix="0" xfId="0">
      <alignment horizontal="left" vertical="center"/>
    </xf>
    <xf numFmtId="0" fontId="9" fillId="23" borderId="1" applyAlignment="1" pivotButton="0" quotePrefix="0" xfId="0">
      <alignment horizontal="left" vertical="center"/>
    </xf>
    <xf numFmtId="0" fontId="9" fillId="23" borderId="1" applyAlignment="1" pivotButton="0" quotePrefix="0" xfId="0">
      <alignment horizontal="center" vertical="center"/>
    </xf>
    <xf numFmtId="0" fontId="8" fillId="23" borderId="1" applyAlignment="1" pivotButton="0" quotePrefix="0" xfId="0">
      <alignment horizontal="center" vertical="center"/>
    </xf>
    <xf numFmtId="0" fontId="9" fillId="23" borderId="1" applyAlignment="1" pivotButton="0" quotePrefix="0" xfId="0">
      <alignment horizontal="left" vertical="center" wrapText="1"/>
    </xf>
    <xf numFmtId="0" fontId="8" fillId="24" borderId="1" applyAlignment="1" pivotButton="0" quotePrefix="0" xfId="0">
      <alignment horizontal="left" vertical="center"/>
    </xf>
    <xf numFmtId="0" fontId="9" fillId="24" borderId="1" applyAlignment="1" pivotButton="0" quotePrefix="0" xfId="0">
      <alignment horizontal="left" vertical="center"/>
    </xf>
    <xf numFmtId="0" fontId="9" fillId="24" borderId="1" applyAlignment="1" pivotButton="0" quotePrefix="0" xfId="0">
      <alignment horizontal="center" vertical="center"/>
    </xf>
    <xf numFmtId="0" fontId="8" fillId="24" borderId="1" applyAlignment="1" pivotButton="0" quotePrefix="0" xfId="0">
      <alignment horizontal="center" vertical="center"/>
    </xf>
    <xf numFmtId="0" fontId="9" fillId="24" borderId="1" applyAlignment="1" pivotButton="0" quotePrefix="0" xfId="0">
      <alignment horizontal="left" vertical="center" wrapText="1"/>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6" fillId="26" borderId="1" applyAlignment="1" pivotButton="0" quotePrefix="0" xfId="0">
      <alignment horizontal="center" vertical="center"/>
    </xf>
    <xf numFmtId="0" fontId="8" fillId="10" borderId="1" applyAlignment="1" pivotButton="0" quotePrefix="0" xfId="0">
      <alignment horizontal="center" vertical="center"/>
    </xf>
    <xf numFmtId="0" fontId="9" fillId="10" borderId="1" applyAlignment="1" pivotButton="0" quotePrefix="0" xfId="0">
      <alignment horizontal="center" vertical="center"/>
    </xf>
    <xf numFmtId="0" fontId="8" fillId="10" borderId="1" applyAlignment="1" pivotButton="0" quotePrefix="0" xfId="0">
      <alignment horizontal="left" vertical="center"/>
    </xf>
    <xf numFmtId="0" fontId="9" fillId="10" borderId="1" applyAlignment="1" pivotButton="0" quotePrefix="0" xfId="0">
      <alignment horizontal="left" vertical="center" wrapText="1"/>
    </xf>
    <xf numFmtId="0" fontId="8" fillId="27" borderId="1" applyAlignment="1" pivotButton="0" quotePrefix="0" xfId="0">
      <alignment horizontal="center" vertical="center"/>
    </xf>
    <xf numFmtId="0" fontId="9" fillId="27" borderId="1" applyAlignment="1" pivotButton="0" quotePrefix="0" xfId="0">
      <alignment horizontal="center" vertical="center"/>
    </xf>
    <xf numFmtId="0" fontId="8" fillId="27" borderId="1" applyAlignment="1" pivotButton="0" quotePrefix="0" xfId="0">
      <alignment horizontal="left" vertical="center"/>
    </xf>
    <xf numFmtId="0" fontId="9" fillId="27" borderId="1" applyAlignment="1" pivotButton="0" quotePrefix="0" xfId="0">
      <alignment horizontal="left" vertical="center" wrapText="1"/>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6" fillId="29" borderId="1" applyAlignment="1" pivotButton="0" quotePrefix="0" xfId="0">
      <alignment horizontal="left" vertical="center"/>
    </xf>
    <xf numFmtId="0" fontId="9" fillId="29" borderId="1" applyAlignment="1" pivotButton="0" quotePrefix="0" xfId="0">
      <alignment horizontal="left" vertical="center"/>
    </xf>
    <xf numFmtId="0" fontId="8" fillId="30" borderId="1" applyAlignment="1" pivotButton="0" quotePrefix="0" xfId="0">
      <alignment horizontal="center" vertical="center"/>
    </xf>
    <xf numFmtId="0" fontId="8" fillId="31" borderId="1" applyAlignment="1" pivotButton="0" quotePrefix="0" xfId="0">
      <alignment horizontal="center" vertical="center"/>
    </xf>
    <xf numFmtId="0" fontId="6" fillId="2" borderId="1" applyAlignment="1" pivotButton="0" quotePrefix="0" xfId="0">
      <alignment horizontal="left" vertical="center"/>
    </xf>
    <xf numFmtId="0" fontId="8" fillId="0" borderId="1" applyAlignment="1" pivotButton="0" quotePrefix="0" xfId="0">
      <alignment horizontal="left" vertical="center"/>
    </xf>
    <xf numFmtId="0" fontId="6" fillId="25" borderId="1" applyAlignment="1" pivotButton="0" quotePrefix="0" xfId="0">
      <alignment horizontal="center" vertical="center"/>
    </xf>
    <xf numFmtId="0" fontId="9" fillId="30" borderId="1" applyAlignment="1" pivotButton="0" quotePrefix="0" xfId="0">
      <alignment horizontal="left" vertical="center" wrapText="1"/>
    </xf>
    <xf numFmtId="0" fontId="9" fillId="4" borderId="1" applyAlignment="1" pivotButton="0" quotePrefix="0" xfId="0">
      <alignment horizontal="left" vertical="center" wrapText="1"/>
    </xf>
    <xf numFmtId="0" fontId="8" fillId="30" borderId="1" applyAlignment="1" pivotButton="0" quotePrefix="0" xfId="0">
      <alignment horizontal="left" vertical="center"/>
    </xf>
    <xf numFmtId="0" fontId="6" fillId="29" borderId="1" applyAlignment="1" pivotButton="0" quotePrefix="0" xfId="0">
      <alignment horizontal="center" vertical="center"/>
    </xf>
    <xf numFmtId="0" fontId="8" fillId="8" borderId="1" applyAlignment="1" pivotButton="0" quotePrefix="0" xfId="0">
      <alignment horizontal="left" vertical="center" wrapText="1"/>
    </xf>
    <xf numFmtId="0" fontId="9" fillId="8" borderId="1" applyAlignment="1" pivotButton="0" quotePrefix="0" xfId="0">
      <alignment horizontal="left" vertical="center"/>
    </xf>
    <xf numFmtId="0" fontId="6" fillId="2" borderId="1" applyAlignment="1" pivotButton="0" quotePrefix="0" xfId="0">
      <alignment horizontal="left" vertical="center"/>
    </xf>
    <xf numFmtId="0" fontId="9" fillId="2" borderId="1" applyAlignment="1" pivotButton="0" quotePrefix="0" xfId="0">
      <alignment horizontal="left" vertical="center"/>
    </xf>
    <xf numFmtId="0" fontId="6" fillId="32" borderId="1" applyAlignment="1" pivotButton="0" quotePrefix="0" xfId="0">
      <alignment horizontal="left" vertical="center" wrapText="1"/>
    </xf>
    <xf numFmtId="0" fontId="9" fillId="32" borderId="1" applyAlignment="1" pivotButton="0" quotePrefix="0" xfId="0">
      <alignment horizontal="left" vertical="center"/>
    </xf>
    <xf numFmtId="0" fontId="6" fillId="33" borderId="1" applyAlignment="1" pivotButton="0" quotePrefix="0" xfId="0">
      <alignment horizontal="center" vertical="center"/>
    </xf>
    <xf numFmtId="0" fontId="6" fillId="25" borderId="1" applyAlignment="1" pivotButton="0" quotePrefix="0" xfId="0">
      <alignment horizontal="center" vertical="center"/>
    </xf>
    <xf numFmtId="0" fontId="9" fillId="10" borderId="1" applyAlignment="1" pivotButton="0" quotePrefix="0" xfId="0">
      <alignment horizontal="center" vertical="center"/>
    </xf>
    <xf numFmtId="0" fontId="8" fillId="10" borderId="1" applyAlignment="1" pivotButton="0" quotePrefix="0" xfId="0">
      <alignment horizontal="left" vertical="center"/>
    </xf>
    <xf numFmtId="0" fontId="8" fillId="21" borderId="1" applyAlignment="1" pivotButton="0" quotePrefix="0" xfId="0">
      <alignment horizontal="center" vertical="center"/>
    </xf>
    <xf numFmtId="0" fontId="8" fillId="30" borderId="1" applyAlignment="1" pivotButton="0" quotePrefix="0" xfId="0">
      <alignment horizontal="center" vertical="center"/>
    </xf>
    <xf numFmtId="0" fontId="8" fillId="10" borderId="1" applyAlignment="1" pivotButton="0" quotePrefix="0" xfId="0">
      <alignment horizontal="center" vertical="center"/>
    </xf>
    <xf numFmtId="0" fontId="6" fillId="34" borderId="1" applyAlignment="1" pivotButton="0" quotePrefix="0" xfId="0">
      <alignment horizontal="center" vertical="center"/>
    </xf>
    <xf numFmtId="0" fontId="8" fillId="31" borderId="1" applyAlignment="1" pivotButton="0" quotePrefix="0" xfId="0">
      <alignment horizontal="center" vertical="center"/>
    </xf>
    <xf numFmtId="0" fontId="8" fillId="4" borderId="1" applyAlignment="1" pivotButton="0" quotePrefix="0" xfId="0">
      <alignment horizontal="center" vertical="center"/>
    </xf>
    <xf numFmtId="0" fontId="6" fillId="35" borderId="1" applyAlignment="1" pivotButton="0" quotePrefix="0" xfId="0">
      <alignment horizontal="center" vertical="center"/>
    </xf>
    <xf numFmtId="0" fontId="6" fillId="28" borderId="1" applyAlignment="1" pivotButton="0" quotePrefix="0" xfId="0">
      <alignment horizontal="center" vertical="center"/>
    </xf>
    <xf numFmtId="0" fontId="6" fillId="29" borderId="1" applyAlignment="1" pivotButton="0" quotePrefix="0" xfId="0">
      <alignment horizontal="center"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8" fillId="21" borderId="1" applyAlignment="1" pivotButton="0" quotePrefix="0" xfId="0">
      <alignment horizontal="left" vertical="center" wrapText="1"/>
    </xf>
    <xf numFmtId="0" fontId="9" fillId="21" borderId="1" applyAlignment="1" pivotButton="0" quotePrefix="0" xfId="0">
      <alignment horizontal="left" vertical="center"/>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9" fillId="30" borderId="1" applyAlignment="1" pivotButton="0" quotePrefix="0" xfId="0">
      <alignment horizontal="left" vertical="center"/>
    </xf>
    <xf numFmtId="0" fontId="6" fillId="2" borderId="1" applyAlignment="1" pivotButton="0" quotePrefix="0" xfId="0">
      <alignment horizontal="left" vertical="center"/>
    </xf>
    <xf numFmtId="0" fontId="9" fillId="2" borderId="1" applyAlignment="1" pivotButton="0" quotePrefix="0" xfId="0">
      <alignment horizontal="left" vertical="center"/>
    </xf>
    <xf numFmtId="0" fontId="10" fillId="32" borderId="1" applyAlignment="1" pivotButton="0" quotePrefix="0" xfId="0">
      <alignment horizontal="left" vertical="center" wrapText="1"/>
    </xf>
    <xf numFmtId="0" fontId="9" fillId="32"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30" borderId="1" applyAlignment="1" pivotButton="0" quotePrefix="0" xfId="0">
      <alignment horizontal="left" vertical="center"/>
    </xf>
    <xf numFmtId="0" fontId="8" fillId="30" borderId="1" applyAlignment="1" pivotButton="0" quotePrefix="0" xfId="0">
      <alignment horizontal="center" vertical="center"/>
    </xf>
    <xf numFmtId="0" fontId="8" fillId="10" borderId="1" applyAlignment="1" pivotButton="0" quotePrefix="0" xfId="0">
      <alignment horizontal="center" vertical="center"/>
    </xf>
    <xf numFmtId="0" fontId="9" fillId="30" borderId="1" applyAlignment="1" pivotButton="0" quotePrefix="0" xfId="0">
      <alignment horizontal="center" vertical="center"/>
    </xf>
    <xf numFmtId="0" fontId="9" fillId="4" borderId="1" applyAlignment="1" pivotButton="0" quotePrefix="0" xfId="0">
      <alignment horizontal="center" vertical="center"/>
    </xf>
    <xf numFmtId="0" fontId="8" fillId="4" borderId="1" applyAlignment="1" pivotButton="0" quotePrefix="0" xfId="0">
      <alignment horizontal="center" vertical="center"/>
    </xf>
    <xf numFmtId="0" fontId="8" fillId="22" borderId="1" applyAlignment="1" pivotButton="0" quotePrefix="0" xfId="0">
      <alignment horizontal="center" vertical="center"/>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9" fillId="30"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8" fillId="31" borderId="1" applyAlignment="1" pivotButton="0" quotePrefix="0" xfId="0">
      <alignment horizontal="center" vertical="center"/>
    </xf>
    <xf numFmtId="0" fontId="9" fillId="31" borderId="1" applyAlignment="1" pivotButton="0" quotePrefix="0" xfId="0">
      <alignment horizontal="left" vertical="center" wrapText="1"/>
    </xf>
    <xf numFmtId="0" fontId="9" fillId="31" borderId="1" applyAlignment="1" pivotButton="0" quotePrefix="0" xfId="0">
      <alignment horizontal="center" vertical="center"/>
    </xf>
    <xf numFmtId="0" fontId="9" fillId="10" borderId="1" applyAlignment="1" pivotButton="0" quotePrefix="0" xfId="0">
      <alignment horizontal="center" vertical="center"/>
    </xf>
    <xf numFmtId="0" fontId="6" fillId="12" borderId="1" applyAlignment="1" pivotButton="0" quotePrefix="0" xfId="0">
      <alignment horizontal="left" vertical="center"/>
    </xf>
    <xf numFmtId="0" fontId="9" fillId="12" borderId="1" applyAlignment="1" pivotButton="0" quotePrefix="0" xfId="0">
      <alignment horizontal="left" vertical="center"/>
    </xf>
    <xf numFmtId="0" fontId="6" fillId="33" borderId="1" applyAlignment="1" pivotButton="0" quotePrefix="0" xfId="0">
      <alignment horizontal="center" vertical="center"/>
    </xf>
    <xf numFmtId="0" fontId="8" fillId="30" borderId="1" applyAlignment="1" pivotButton="0" quotePrefix="0" xfId="0">
      <alignment horizontal="left" vertical="center"/>
    </xf>
    <xf numFmtId="0" fontId="8" fillId="30" borderId="1" applyAlignment="1" pivotButton="0" quotePrefix="0" xfId="0">
      <alignment horizontal="center" vertical="center"/>
    </xf>
    <xf numFmtId="0" fontId="9" fillId="30" borderId="1" applyAlignment="1" pivotButton="0" quotePrefix="0" xfId="0">
      <alignment horizontal="center" vertical="center"/>
    </xf>
    <xf numFmtId="0" fontId="8" fillId="6" borderId="1" applyAlignment="1" pivotButton="0" quotePrefix="0" xfId="0">
      <alignment horizontal="left" vertical="center"/>
    </xf>
    <xf numFmtId="0" fontId="8" fillId="6" borderId="1" applyAlignment="1" pivotButton="0" quotePrefix="0" xfId="0">
      <alignment horizontal="center" vertical="center"/>
    </xf>
    <xf numFmtId="0" fontId="9" fillId="6" borderId="1" applyAlignment="1" pivotButton="0" quotePrefix="0" xfId="0">
      <alignment horizontal="center" vertical="center"/>
    </xf>
    <xf numFmtId="0" fontId="9" fillId="6" borderId="1" applyAlignment="1" pivotButton="0" quotePrefix="0" xfId="0">
      <alignment horizontal="left" vertical="center" wrapText="1"/>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27" borderId="1" applyAlignment="1" pivotButton="0" quotePrefix="0" xfId="0">
      <alignment horizontal="center" vertical="center"/>
    </xf>
    <xf numFmtId="0" fontId="9" fillId="4" borderId="1" applyAlignment="1" pivotButton="0" quotePrefix="0" xfId="0">
      <alignment horizontal="center" vertical="center"/>
    </xf>
    <xf numFmtId="0" fontId="8" fillId="10" borderId="1" applyAlignment="1" pivotButton="0" quotePrefix="0" xfId="0">
      <alignment horizontal="center" vertical="center"/>
    </xf>
    <xf numFmtId="0" fontId="8" fillId="22" borderId="1" applyAlignment="1" pivotButton="0" quotePrefix="0" xfId="0">
      <alignment horizontal="center" vertical="center"/>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9" fillId="30"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8" fillId="31" borderId="1" applyAlignment="1" pivotButton="0" quotePrefix="0" xfId="0">
      <alignment horizontal="center" vertical="center"/>
    </xf>
    <xf numFmtId="0" fontId="9" fillId="10" borderId="1" applyAlignment="1" pivotButton="0" quotePrefix="0" xfId="0">
      <alignment horizontal="left" vertical="center"/>
    </xf>
    <xf numFmtId="0" fontId="6" fillId="37" borderId="1" applyAlignment="1" pivotButton="0" quotePrefix="0" xfId="0">
      <alignment horizontal="left" vertical="center"/>
    </xf>
    <xf numFmtId="0" fontId="9" fillId="37" borderId="1" applyAlignment="1" pivotButton="0" quotePrefix="0" xfId="0">
      <alignment horizontal="left" vertical="center"/>
    </xf>
    <xf numFmtId="0" fontId="8" fillId="31" borderId="1" applyAlignment="1" pivotButton="0" quotePrefix="0" xfId="0">
      <alignment horizontal="left" vertical="center"/>
    </xf>
    <xf numFmtId="0" fontId="9" fillId="31" borderId="1" applyAlignment="1" pivotButton="0" quotePrefix="0" xfId="0">
      <alignment horizontal="center" vertical="center"/>
    </xf>
    <xf numFmtId="0" fontId="8" fillId="4" borderId="1" applyAlignment="1" pivotButton="0" quotePrefix="0" xfId="0">
      <alignment horizontal="center" vertical="center"/>
    </xf>
    <xf numFmtId="0" fontId="6" fillId="2" borderId="1" applyAlignment="1" pivotButton="0" quotePrefix="0" xfId="0">
      <alignment horizontal="left" vertical="center"/>
    </xf>
    <xf numFmtId="0" fontId="9" fillId="2" borderId="1" applyAlignment="1" pivotButton="0" quotePrefix="0" xfId="0">
      <alignment horizontal="left" vertical="center"/>
    </xf>
    <xf numFmtId="0" fontId="6" fillId="25" borderId="1" applyAlignment="1" pivotButton="0" quotePrefix="0" xfId="0">
      <alignment horizontal="center" vertical="center"/>
    </xf>
    <xf numFmtId="0" fontId="9" fillId="4" borderId="1" applyAlignment="1" pivotButton="0" quotePrefix="0" xfId="0">
      <alignment horizontal="left" vertical="center"/>
    </xf>
    <xf numFmtId="0" fontId="8" fillId="6" borderId="1" applyAlignment="1" pivotButton="0" quotePrefix="0" xfId="0">
      <alignment horizontal="left" vertical="center"/>
    </xf>
    <xf numFmtId="0" fontId="8" fillId="30" borderId="1" applyAlignment="1" pivotButton="0" quotePrefix="0" xfId="0">
      <alignment horizontal="center" vertical="center"/>
    </xf>
    <xf numFmtId="0" fontId="8" fillId="31" borderId="1" applyAlignment="1" pivotButton="0" quotePrefix="0" xfId="0">
      <alignment horizontal="center" vertical="center"/>
    </xf>
    <xf numFmtId="0" fontId="8" fillId="6" borderId="1" applyAlignment="1" pivotButton="0" quotePrefix="0" xfId="0">
      <alignment horizontal="center" vertical="center"/>
    </xf>
    <xf numFmtId="0" fontId="9" fillId="10" borderId="1" applyAlignment="1" pivotButton="0" quotePrefix="0" xfId="0">
      <alignment horizontal="center" vertical="center"/>
    </xf>
    <xf numFmtId="0" fontId="6" fillId="25" borderId="1" applyAlignment="1" pivotButton="0" quotePrefix="0" xfId="0">
      <alignment horizontal="center" vertical="center"/>
    </xf>
    <xf numFmtId="0" fontId="6" fillId="12" borderId="1" applyAlignment="1" pivotButton="0" quotePrefix="0" xfId="0">
      <alignment horizontal="left" vertical="center"/>
    </xf>
    <xf numFmtId="0" fontId="9" fillId="12" borderId="1" applyAlignment="1" pivotButton="0" quotePrefix="0" xfId="0">
      <alignment horizontal="left" vertical="center"/>
    </xf>
    <xf numFmtId="0" fontId="9" fillId="32" borderId="1" applyAlignment="1" pivotButton="0" quotePrefix="0" xfId="0">
      <alignment horizontal="left" vertical="center"/>
    </xf>
    <xf numFmtId="0" fontId="6" fillId="33" borderId="1" applyAlignment="1" pivotButton="0" quotePrefix="0" xfId="0">
      <alignment horizontal="center" vertical="center"/>
    </xf>
    <xf numFmtId="0" fontId="8" fillId="30"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9" fillId="6" borderId="1" applyAlignment="1" pivotButton="0" quotePrefix="0" xfId="0">
      <alignment horizontal="left" vertical="center"/>
    </xf>
    <xf numFmtId="0" fontId="9" fillId="6" borderId="1" applyAlignment="1" pivotButton="0" quotePrefix="0" xfId="0">
      <alignment horizontal="center" vertical="center"/>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8" fillId="8" borderId="1" applyAlignment="1" pivotButton="0" quotePrefix="0" xfId="0">
      <alignment horizontal="left" vertical="center"/>
    </xf>
    <xf numFmtId="0" fontId="9" fillId="8" borderId="1" applyAlignment="1" pivotButton="0" quotePrefix="0" xfId="0">
      <alignment horizontal="center" vertical="center"/>
    </xf>
    <xf numFmtId="0" fontId="9" fillId="8" borderId="1" applyAlignment="1" pivotButton="0" quotePrefix="0" xfId="0">
      <alignment horizontal="left" vertical="center" wrapText="1"/>
    </xf>
    <xf numFmtId="0" fontId="8" fillId="3" borderId="1" applyAlignment="1" pivotButton="0" quotePrefix="0" xfId="0">
      <alignment horizontal="center" vertical="center"/>
    </xf>
    <xf numFmtId="0" fontId="9" fillId="3" borderId="1" applyAlignment="1" pivotButton="0" quotePrefix="0" xfId="0">
      <alignment horizontal="left" vertical="center"/>
    </xf>
    <xf numFmtId="0" fontId="8" fillId="3" borderId="1" applyAlignment="1" pivotButton="0" quotePrefix="0" xfId="0">
      <alignment horizontal="left" vertical="center"/>
    </xf>
    <xf numFmtId="0" fontId="9" fillId="3" borderId="1" applyAlignment="1" pivotButton="0" quotePrefix="0" xfId="0">
      <alignment horizontal="center" vertical="center"/>
    </xf>
    <xf numFmtId="0" fontId="9" fillId="3" borderId="1" applyAlignment="1" pivotButton="0" quotePrefix="0" xfId="0">
      <alignment horizontal="left" vertical="center" wrapText="1"/>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9" fillId="30"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9" fillId="4" borderId="1" applyAlignment="1" pivotButton="0" quotePrefix="0" xfId="0">
      <alignment horizontal="left" vertical="center"/>
    </xf>
    <xf numFmtId="0" fontId="8" fillId="4" borderId="1" applyAlignment="1" pivotButton="0" quotePrefix="0" xfId="0">
      <alignment horizontal="left" vertical="center"/>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6" fillId="28" borderId="1" applyAlignment="1" pivotButton="0" quotePrefix="0" xfId="0">
      <alignment horizontal="center" vertical="center"/>
    </xf>
    <xf numFmtId="0" fontId="6" fillId="38" borderId="1" applyAlignment="1" pivotButton="0" quotePrefix="0" xfId="0">
      <alignment horizontal="left" vertical="center"/>
    </xf>
    <xf numFmtId="0" fontId="9" fillId="38" borderId="1" applyAlignment="1" pivotButton="0" quotePrefix="0" xfId="0">
      <alignment horizontal="left" vertical="center"/>
    </xf>
    <xf numFmtId="0" fontId="10" fillId="39" borderId="1" applyAlignment="1" pivotButton="0" quotePrefix="0" xfId="0">
      <alignment horizontal="left" vertical="center" wrapText="1"/>
    </xf>
    <xf numFmtId="0" fontId="9" fillId="39"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6" fillId="33" borderId="1" applyAlignment="1" pivotButton="0" quotePrefix="0" xfId="0">
      <alignment horizontal="center" vertical="center"/>
    </xf>
    <xf numFmtId="0" fontId="9" fillId="4" borderId="1" applyAlignment="1" pivotButton="0" quotePrefix="0" xfId="0">
      <alignment horizontal="left"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8" fillId="8" borderId="1" applyAlignment="1" pivotButton="0" quotePrefix="0" xfId="0">
      <alignment horizontal="left" vertical="center"/>
    </xf>
    <xf numFmtId="0" fontId="9" fillId="8" borderId="1" applyAlignment="1" pivotButton="0" quotePrefix="0" xfId="0">
      <alignment horizontal="center" vertical="center"/>
    </xf>
    <xf numFmtId="0" fontId="9" fillId="4" borderId="1" applyAlignment="1" pivotButton="0" quotePrefix="0" xfId="0">
      <alignment horizontal="center" vertical="center"/>
    </xf>
    <xf numFmtId="0" fontId="6" fillId="38" borderId="1" applyAlignment="1" pivotButton="0" quotePrefix="0" xfId="0">
      <alignment horizontal="center" vertical="center"/>
    </xf>
    <xf numFmtId="0" fontId="8" fillId="10" borderId="1" applyAlignment="1" pivotButton="0" quotePrefix="0" xfId="0">
      <alignment horizontal="center" vertical="center"/>
    </xf>
    <xf numFmtId="0" fontId="8" fillId="10" borderId="1" applyAlignment="1" pivotButton="0" quotePrefix="0" xfId="0">
      <alignment horizontal="left" vertical="center"/>
    </xf>
    <xf numFmtId="0" fontId="9" fillId="10" borderId="1" applyAlignment="1" pivotButton="0" quotePrefix="0" xfId="0">
      <alignment horizontal="left" vertical="center"/>
    </xf>
    <xf numFmtId="0" fontId="8" fillId="27" borderId="1" applyAlignment="1" pivotButton="0" quotePrefix="0" xfId="0">
      <alignment horizontal="center" vertical="center"/>
    </xf>
    <xf numFmtId="0" fontId="8" fillId="30" borderId="1" applyAlignment="1" pivotButton="0" quotePrefix="0" xfId="0">
      <alignment horizontal="center" vertical="center"/>
    </xf>
    <xf numFmtId="0" fontId="9" fillId="30" borderId="1" applyAlignment="1" pivotButton="0" quotePrefix="0" xfId="0">
      <alignment horizontal="center" vertical="center"/>
    </xf>
    <xf numFmtId="0" fontId="8" fillId="31" borderId="1" applyAlignment="1" pivotButton="0" quotePrefix="0" xfId="0">
      <alignment horizontal="center" vertical="center"/>
    </xf>
    <xf numFmtId="0" fontId="8" fillId="4" borderId="1" applyAlignment="1" pivotButton="0" quotePrefix="0" xfId="0">
      <alignment horizontal="left" vertical="center"/>
    </xf>
    <xf numFmtId="0" fontId="8" fillId="31" borderId="1" applyAlignment="1" pivotButton="0" quotePrefix="0" xfId="0">
      <alignment horizontal="center" vertical="center"/>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6" fillId="35" borderId="1" applyAlignment="1" pivotButton="0" quotePrefix="0" xfId="0">
      <alignment horizontal="center" vertical="center"/>
    </xf>
    <xf numFmtId="0" fontId="6" fillId="38" borderId="1" applyAlignment="1" pivotButton="0" quotePrefix="0" xfId="0">
      <alignment horizontal="left" vertical="center"/>
    </xf>
    <xf numFmtId="0" fontId="9" fillId="38" borderId="1" applyAlignment="1" pivotButton="0" quotePrefix="0" xfId="0">
      <alignment horizontal="left" vertical="center"/>
    </xf>
    <xf numFmtId="0" fontId="9" fillId="39"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8" fillId="24" borderId="1" applyAlignment="1" pivotButton="0" quotePrefix="0" xfId="0">
      <alignment horizontal="left" vertical="center" wrapText="1"/>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8" fillId="8" borderId="1" applyAlignment="1" pivotButton="0" quotePrefix="0" xfId="0">
      <alignment horizontal="left" vertical="center"/>
    </xf>
    <xf numFmtId="0" fontId="9" fillId="8" borderId="1" applyAlignment="1" pivotButton="0" quotePrefix="0" xfId="0">
      <alignment horizontal="center" vertical="center"/>
    </xf>
    <xf numFmtId="0" fontId="6" fillId="36" borderId="1" applyAlignment="1" pivotButton="0" quotePrefix="0" xfId="0">
      <alignment horizontal="center" vertical="center"/>
    </xf>
    <xf numFmtId="0" fontId="9" fillId="4" borderId="1" applyAlignment="1" pivotButton="0" quotePrefix="0" xfId="0">
      <alignment horizontal="left" vertical="center"/>
    </xf>
    <xf numFmtId="0" fontId="9" fillId="4" borderId="1" applyAlignment="1" pivotButton="0" quotePrefix="0" xfId="0">
      <alignment horizontal="center" vertical="center"/>
    </xf>
    <xf numFmtId="0" fontId="6" fillId="38" borderId="1" applyAlignment="1" pivotButton="0" quotePrefix="0" xfId="0">
      <alignment horizontal="center" vertical="center"/>
    </xf>
    <xf numFmtId="0" fontId="6" fillId="33" borderId="1" applyAlignment="1" pivotButton="0" quotePrefix="0" xfId="0">
      <alignment horizontal="center" vertical="center"/>
    </xf>
    <xf numFmtId="0" fontId="8" fillId="10" borderId="1" applyAlignment="1" pivotButton="0" quotePrefix="0" xfId="0">
      <alignment horizontal="center" vertical="center"/>
    </xf>
    <xf numFmtId="0" fontId="9" fillId="10" borderId="1" applyAlignment="1" pivotButton="0" quotePrefix="0" xfId="0">
      <alignment horizontal="left" vertical="center"/>
    </xf>
    <xf numFmtId="0" fontId="8" fillId="10" borderId="1" applyAlignment="1" pivotButton="0" quotePrefix="0" xfId="0">
      <alignment horizontal="left" vertical="center"/>
    </xf>
    <xf numFmtId="0" fontId="8" fillId="31" borderId="1" applyAlignment="1" pivotButton="0" quotePrefix="0" xfId="0">
      <alignment horizontal="left" vertical="center"/>
    </xf>
    <xf numFmtId="0" fontId="9" fillId="31" borderId="1" applyAlignment="1" pivotButton="0" quotePrefix="0" xfId="0">
      <alignment horizontal="center" vertical="center"/>
    </xf>
    <xf numFmtId="0" fontId="8" fillId="27" borderId="1" applyAlignment="1" pivotButton="0" quotePrefix="0" xfId="0">
      <alignment horizontal="center" vertical="center"/>
    </xf>
    <xf numFmtId="0" fontId="8" fillId="30" borderId="1" applyAlignment="1" pivotButton="0" quotePrefix="0" xfId="0">
      <alignment horizontal="center" vertical="center"/>
    </xf>
    <xf numFmtId="0" fontId="9" fillId="30" borderId="1" applyAlignment="1" pivotButton="0" quotePrefix="0" xfId="0">
      <alignment horizontal="center" vertical="center"/>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9" fillId="30"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9" fillId="31" borderId="1" applyAlignment="1" pivotButton="0" quotePrefix="0" xfId="0">
      <alignment horizontal="left" vertical="center"/>
    </xf>
    <xf numFmtId="0" fontId="8" fillId="4" borderId="1" applyAlignment="1" pivotButton="0" quotePrefix="0" xfId="0">
      <alignment horizontal="left" vertical="center"/>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6" fillId="40" borderId="1" applyAlignment="1" pivotButton="0" quotePrefix="0" xfId="0">
      <alignment horizontal="center" vertical="center"/>
    </xf>
    <xf numFmtId="0" fontId="6" fillId="38" borderId="1" applyAlignment="1" pivotButton="0" quotePrefix="0" xfId="0">
      <alignment horizontal="left" vertical="center"/>
    </xf>
    <xf numFmtId="0" fontId="9" fillId="38" borderId="1" applyAlignment="1" pivotButton="0" quotePrefix="0" xfId="0">
      <alignment horizontal="left" vertical="center"/>
    </xf>
    <xf numFmtId="0" fontId="9" fillId="39"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6" fillId="33" borderId="1" applyAlignment="1" pivotButton="0" quotePrefix="0" xfId="0">
      <alignment horizontal="center" vertical="center"/>
    </xf>
    <xf numFmtId="0" fontId="9" fillId="4" borderId="1" applyAlignment="1" pivotButton="0" quotePrefix="0" xfId="0">
      <alignment horizontal="center" vertical="center"/>
    </xf>
    <xf numFmtId="0" fontId="9" fillId="4"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8" fillId="8" borderId="1" applyAlignment="1" pivotButton="0" quotePrefix="0" xfId="0">
      <alignment horizontal="left" vertical="center"/>
    </xf>
    <xf numFmtId="0" fontId="9" fillId="8" borderId="1" applyAlignment="1" pivotButton="0" quotePrefix="0" xfId="0">
      <alignment horizontal="center" vertical="center"/>
    </xf>
    <xf numFmtId="0" fontId="6" fillId="36" borderId="1" applyAlignment="1" pivotButton="0" quotePrefix="0" xfId="0">
      <alignment horizontal="center" vertical="center"/>
    </xf>
    <xf numFmtId="0" fontId="8" fillId="24" borderId="1" applyAlignment="1" pivotButton="0" quotePrefix="0" xfId="0">
      <alignment horizontal="center" vertical="center"/>
    </xf>
    <xf numFmtId="0" fontId="9" fillId="24" borderId="1" applyAlignment="1" pivotButton="0" quotePrefix="0" xfId="0">
      <alignment horizontal="left" vertical="center"/>
    </xf>
    <xf numFmtId="0" fontId="11" fillId="24" borderId="1" applyAlignment="1" pivotButton="0" quotePrefix="0" xfId="0">
      <alignment horizontal="left" vertical="center"/>
    </xf>
    <xf numFmtId="0" fontId="9" fillId="24" borderId="1" applyAlignment="1" pivotButton="0" quotePrefix="0" xfId="0">
      <alignment horizontal="center" vertical="center"/>
    </xf>
    <xf numFmtId="0" fontId="6" fillId="38" borderId="1" applyAlignment="1" pivotButton="0" quotePrefix="0" xfId="0">
      <alignment horizontal="center" vertical="center"/>
    </xf>
    <xf numFmtId="0" fontId="8" fillId="10" borderId="1" applyAlignment="1" pivotButton="0" quotePrefix="0" xfId="0">
      <alignment horizontal="left" vertical="center"/>
    </xf>
    <xf numFmtId="0" fontId="9" fillId="10" borderId="1" applyAlignment="1" pivotButton="0" quotePrefix="0" xfId="0">
      <alignment horizontal="left" vertical="center"/>
    </xf>
    <xf numFmtId="0" fontId="9" fillId="30" borderId="1" applyAlignment="1" pivotButton="0" quotePrefix="0" xfId="0">
      <alignment horizontal="center" vertical="center"/>
    </xf>
    <xf numFmtId="0" fontId="9" fillId="31" borderId="1" applyAlignment="1" pivotButton="0" quotePrefix="0" xfId="0">
      <alignment horizontal="center" vertical="center"/>
    </xf>
    <xf numFmtId="0" fontId="8" fillId="27" borderId="1" applyAlignment="1" pivotButton="0" quotePrefix="0" xfId="0">
      <alignment horizontal="center" vertical="center"/>
    </xf>
    <xf numFmtId="0" fontId="8" fillId="30" borderId="1" applyAlignment="1" pivotButton="0" quotePrefix="0" xfId="0">
      <alignment horizontal="center" vertical="center"/>
    </xf>
    <xf numFmtId="0" fontId="8" fillId="10" borderId="1" applyAlignment="1" pivotButton="0" quotePrefix="0" xfId="0">
      <alignment horizontal="center" vertical="center"/>
    </xf>
    <xf numFmtId="0" fontId="8" fillId="31" borderId="1" applyAlignment="1" pivotButton="0" quotePrefix="0" xfId="0">
      <alignment horizontal="center" vertical="center"/>
    </xf>
    <xf numFmtId="0" fontId="8" fillId="4" borderId="1" applyAlignment="1" pivotButton="0" quotePrefix="0" xfId="0">
      <alignment horizontal="left" vertical="center" wrapText="1"/>
    </xf>
    <xf numFmtId="0" fontId="8" fillId="4" borderId="1" applyAlignment="1" pivotButton="0" quotePrefix="0" xfId="0">
      <alignment horizontal="center" vertical="center"/>
    </xf>
    <xf numFmtId="0" fontId="9" fillId="4" borderId="1" applyAlignment="1" pivotButton="0" quotePrefix="0" xfId="0">
      <alignment horizontal="center" vertical="center"/>
    </xf>
    <xf numFmtId="0" fontId="9" fillId="4" borderId="1" applyAlignment="1" pivotButton="0" quotePrefix="0" xfId="0">
      <alignment horizontal="left" vertical="center"/>
    </xf>
    <xf numFmtId="0" fontId="6" fillId="38" borderId="1" applyAlignment="1" pivotButton="0" quotePrefix="0" xfId="0">
      <alignment horizontal="left" vertical="center"/>
    </xf>
    <xf numFmtId="0" fontId="9" fillId="38" borderId="1" applyAlignment="1" pivotButton="0" quotePrefix="0" xfId="0">
      <alignment horizontal="left" vertical="center"/>
    </xf>
    <xf numFmtId="0" fontId="9" fillId="39"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8" borderId="1" applyAlignment="1" pivotButton="0" quotePrefix="0" xfId="0">
      <alignment horizontal="center" vertical="center"/>
    </xf>
    <xf numFmtId="0" fontId="8" fillId="8" borderId="1" applyAlignment="1" pivotButton="0" quotePrefix="0" xfId="0">
      <alignment horizontal="left" vertical="center"/>
    </xf>
    <xf numFmtId="0" fontId="9" fillId="8" borderId="1" applyAlignment="1" pivotButton="0" quotePrefix="0" xfId="0">
      <alignment horizontal="center" vertical="center"/>
    </xf>
    <xf numFmtId="0" fontId="9" fillId="8" borderId="1" applyAlignment="1" pivotButton="0" quotePrefix="0" xfId="0">
      <alignment horizontal="left" vertical="center"/>
    </xf>
    <xf numFmtId="0" fontId="8" fillId="4" borderId="1" applyAlignment="1" pivotButton="0" quotePrefix="0" xfId="0">
      <alignment horizontal="center" vertical="center"/>
    </xf>
    <xf numFmtId="0" fontId="9" fillId="4" borderId="1" applyAlignment="1" pivotButton="0" quotePrefix="0" xfId="0">
      <alignment horizontal="left" vertical="center"/>
    </xf>
    <xf numFmtId="0" fontId="8" fillId="4" borderId="1" applyAlignment="1" pivotButton="0" quotePrefix="0" xfId="0">
      <alignment horizontal="left" vertical="center"/>
    </xf>
    <xf numFmtId="0" fontId="9" fillId="4" borderId="1" applyAlignment="1" pivotButton="0" quotePrefix="0" xfId="0">
      <alignment horizontal="center" vertical="center"/>
    </xf>
    <xf numFmtId="0" fontId="6" fillId="38" borderId="1" applyAlignment="1" pivotButton="0" quotePrefix="0" xfId="0">
      <alignment horizontal="center" vertical="center"/>
    </xf>
    <xf numFmtId="0" fontId="8" fillId="10" borderId="1" applyAlignment="1" pivotButton="0" quotePrefix="0" xfId="0">
      <alignment horizontal="left" vertical="center"/>
    </xf>
    <xf numFmtId="0" fontId="9" fillId="10" borderId="1" applyAlignment="1" pivotButton="0" quotePrefix="0" xfId="0">
      <alignment horizontal="left" vertical="center"/>
    </xf>
    <xf numFmtId="0" fontId="8" fillId="31" borderId="1" applyAlignment="1" pivotButton="0" quotePrefix="0" xfId="0">
      <alignment horizontal="center"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8" fillId="30" borderId="1" applyAlignment="1" pivotButton="0" quotePrefix="0" xfId="0">
      <alignment horizontal="center" vertical="center"/>
    </xf>
    <xf numFmtId="0" fontId="8" fillId="30" borderId="1" applyAlignment="1" pivotButton="0" quotePrefix="0" xfId="0">
      <alignment horizontal="left" vertical="center"/>
    </xf>
    <xf numFmtId="0" fontId="9" fillId="30" borderId="1" applyAlignment="1" pivotButton="0" quotePrefix="0" xfId="0">
      <alignment horizontal="left" vertical="center"/>
    </xf>
    <xf numFmtId="0" fontId="8" fillId="6" borderId="1" applyAlignment="1" pivotButton="0" quotePrefix="0" xfId="0">
      <alignment horizontal="center" vertical="center"/>
    </xf>
    <xf numFmtId="0" fontId="8" fillId="6" borderId="1" applyAlignment="1" pivotButton="0" quotePrefix="0" xfId="0">
      <alignment horizontal="left" vertical="center"/>
    </xf>
    <xf numFmtId="0" fontId="9" fillId="6" borderId="1" applyAlignment="1" pivotButton="0" quotePrefix="0" xfId="0">
      <alignment horizontal="left" vertical="center"/>
    </xf>
    <xf numFmtId="0" fontId="6" fillId="41" borderId="1" applyAlignment="1" pivotButton="0" quotePrefix="0" xfId="0">
      <alignment horizontal="left" vertical="center"/>
    </xf>
    <xf numFmtId="0" fontId="9" fillId="41" borderId="1" applyAlignment="1" pivotButton="0" quotePrefix="0" xfId="0">
      <alignment horizontal="left" vertical="center"/>
    </xf>
    <xf numFmtId="0" fontId="6" fillId="42" borderId="1" applyAlignment="1" pivotButton="0" quotePrefix="0" xfId="0">
      <alignment horizontal="center" vertical="center"/>
    </xf>
    <xf numFmtId="0" fontId="6" fillId="41" borderId="1" applyAlignment="1" pivotButton="0" quotePrefix="0" xfId="0">
      <alignment horizontal="center" vertical="center"/>
    </xf>
    <xf numFmtId="0" fontId="8" fillId="10" borderId="1" applyAlignment="1" pivotButton="0" quotePrefix="0" xfId="0">
      <alignment horizontal="center" vertical="center"/>
    </xf>
    <xf numFmtId="0" fontId="9" fillId="10" borderId="1" applyAlignment="1" pivotButton="0" quotePrefix="0" xfId="0">
      <alignment horizontal="center" vertical="center"/>
    </xf>
    <xf numFmtId="0" fontId="9" fillId="10" borderId="1" applyAlignment="1" pivotButton="0" quotePrefix="0" xfId="0">
      <alignment horizontal="left" vertical="center"/>
    </xf>
    <xf numFmtId="0" fontId="12" fillId="31" borderId="1" applyAlignment="1" pivotButton="0" quotePrefix="0" xfId="0">
      <alignment horizontal="center" vertical="center"/>
    </xf>
    <xf numFmtId="0" fontId="6" fillId="38" borderId="1" applyAlignment="1" pivotButton="0" quotePrefix="0" xfId="0">
      <alignment horizontal="left" vertical="center"/>
    </xf>
    <xf numFmtId="0" fontId="9" fillId="38" borderId="1" applyAlignment="1" pivotButton="0" quotePrefix="0" xfId="0">
      <alignment horizontal="left" vertical="center"/>
    </xf>
    <xf numFmtId="0" fontId="6" fillId="25" borderId="1" applyAlignment="1" pivotButton="0" quotePrefix="0" xfId="0">
      <alignment horizontal="center" vertical="center"/>
    </xf>
    <xf numFmtId="0" fontId="6" fillId="25" borderId="1" applyAlignment="1" pivotButton="0" quotePrefix="0" xfId="0">
      <alignment horizontal="left" vertical="center"/>
    </xf>
    <xf numFmtId="0" fontId="9" fillId="10" borderId="1" applyAlignment="1" pivotButton="0" quotePrefix="0" xfId="0">
      <alignment horizontal="left" vertical="center"/>
    </xf>
    <xf numFmtId="0" fontId="6" fillId="28" borderId="1" applyAlignment="1" pivotButton="0" quotePrefix="0" xfId="0">
      <alignment horizontal="center" vertical="center"/>
    </xf>
    <xf numFmtId="0" fontId="6" fillId="28" borderId="1" applyAlignment="1" pivotButton="0" quotePrefix="0" xfId="0">
      <alignment horizontal="left" vertical="center"/>
    </xf>
    <xf numFmtId="0" fontId="6" fillId="29" borderId="1" applyAlignment="1" pivotButton="0" quotePrefix="0" xfId="0">
      <alignment horizontal="center" vertical="center"/>
    </xf>
    <xf numFmtId="0" fontId="6" fillId="29" borderId="1" applyAlignment="1" pivotButton="0" quotePrefix="0" xfId="0">
      <alignment horizontal="left" vertical="center"/>
    </xf>
    <xf numFmtId="0" fontId="6" fillId="41" borderId="1" applyAlignment="1" pivotButton="0" quotePrefix="0" xfId="0">
      <alignment horizontal="center" vertical="center"/>
    </xf>
    <xf numFmtId="0" fontId="6" fillId="41" borderId="1" applyAlignment="1" pivotButton="0" quotePrefix="0" xfId="0">
      <alignment horizontal="left" vertical="center"/>
    </xf>
    <xf numFmtId="0" fontId="6" fillId="43" borderId="1" applyAlignment="1" pivotButton="0" quotePrefix="0" xfId="0">
      <alignment horizontal="center" vertical="center"/>
    </xf>
    <xf numFmtId="0" fontId="6" fillId="43" borderId="1" applyAlignment="1" pivotButton="0" quotePrefix="0" xfId="0">
      <alignment horizontal="left" vertical="center"/>
    </xf>
    <xf numFmtId="0" fontId="6" fillId="44" borderId="1" applyAlignment="1" pivotButton="0" quotePrefix="0" xfId="0">
      <alignment horizontal="center" vertical="center"/>
    </xf>
    <xf numFmtId="0" fontId="6" fillId="44" borderId="1" applyAlignment="1" pivotButton="0" quotePrefix="0" xfId="0">
      <alignment horizontal="left" vertical="center"/>
    </xf>
    <xf numFmtId="0" fontId="6" fillId="38" borderId="1" applyAlignment="1" pivotButton="0" quotePrefix="0" xfId="0">
      <alignment horizontal="center"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10" borderId="1" applyAlignment="1" pivotButton="0" quotePrefix="0" xfId="0">
      <alignment horizontal="center" vertical="center"/>
    </xf>
    <xf numFmtId="0" fontId="6" fillId="45" borderId="1" applyAlignment="1" pivotButton="0" quotePrefix="0" xfId="0">
      <alignment horizontal="left" vertical="center"/>
    </xf>
    <xf numFmtId="0" fontId="9" fillId="45" borderId="1" applyAlignment="1" pivotButton="0" quotePrefix="0" xfId="0">
      <alignment horizontal="left" vertical="center"/>
    </xf>
    <xf numFmtId="0" fontId="10" fillId="46" borderId="1" applyAlignment="1" pivotButton="0" quotePrefix="0" xfId="0">
      <alignment horizontal="left" vertical="center" wrapText="1"/>
    </xf>
    <xf numFmtId="0" fontId="9" fillId="46" borderId="1" applyAlignment="1" pivotButton="0" quotePrefix="0" xfId="0">
      <alignment horizontal="left" vertical="center"/>
    </xf>
    <xf numFmtId="0" fontId="6" fillId="25" borderId="1" applyAlignment="1" pivotButton="0" quotePrefix="0" xfId="0">
      <alignment horizontal="center" vertical="center"/>
    </xf>
    <xf numFmtId="0" fontId="6" fillId="25" borderId="1" applyAlignment="1" pivotButton="0" quotePrefix="0" xfId="0">
      <alignment horizontal="left" vertical="center"/>
    </xf>
    <xf numFmtId="0" fontId="9" fillId="10" borderId="1" applyAlignment="1" pivotButton="0" quotePrefix="0" xfId="0">
      <alignment horizontal="left" vertical="center"/>
    </xf>
    <xf numFmtId="0" fontId="6" fillId="28" borderId="1" applyAlignment="1" pivotButton="0" quotePrefix="0" xfId="0">
      <alignment horizontal="center" vertical="center"/>
    </xf>
    <xf numFmtId="0" fontId="6" fillId="28" borderId="1" applyAlignment="1" pivotButton="0" quotePrefix="0" xfId="0">
      <alignment horizontal="left" vertical="center"/>
    </xf>
    <xf numFmtId="0" fontId="6" fillId="29" borderId="1" applyAlignment="1" pivotButton="0" quotePrefix="0" xfId="0">
      <alignment horizontal="center" vertical="center"/>
    </xf>
    <xf numFmtId="0" fontId="6" fillId="29" borderId="1" applyAlignment="1" pivotButton="0" quotePrefix="0" xfId="0">
      <alignment horizontal="left" vertical="center"/>
    </xf>
    <xf numFmtId="0" fontId="6" fillId="41" borderId="1" applyAlignment="1" pivotButton="0" quotePrefix="0" xfId="0">
      <alignment horizontal="center" vertical="center"/>
    </xf>
    <xf numFmtId="0" fontId="6" fillId="41" borderId="1" applyAlignment="1" pivotButton="0" quotePrefix="0" xfId="0">
      <alignment horizontal="left" vertical="center"/>
    </xf>
    <xf numFmtId="0" fontId="6" fillId="47" borderId="1" applyAlignment="1" pivotButton="0" quotePrefix="0" xfId="0">
      <alignment horizontal="center" vertical="center"/>
    </xf>
    <xf numFmtId="0" fontId="6" fillId="47" borderId="1" applyAlignment="1" pivotButton="0" quotePrefix="0" xfId="0">
      <alignment horizontal="left" vertical="center"/>
    </xf>
    <xf numFmtId="0" fontId="6" fillId="44" borderId="1" applyAlignment="1" pivotButton="0" quotePrefix="0" xfId="0">
      <alignment horizontal="center" vertical="center"/>
    </xf>
    <xf numFmtId="0" fontId="6" fillId="44" borderId="1" applyAlignment="1" pivotButton="0" quotePrefix="0" xfId="0">
      <alignment horizontal="left" vertical="center"/>
    </xf>
    <xf numFmtId="0" fontId="6" fillId="38" borderId="1" applyAlignment="1" pivotButton="0" quotePrefix="0" xfId="0">
      <alignment horizontal="center" vertical="center"/>
    </xf>
    <xf numFmtId="0" fontId="6" fillId="38"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horizontal="left" vertical="center"/>
    </xf>
    <xf numFmtId="0" fontId="9" fillId="3" borderId="1" applyAlignment="1" pivotButton="0" quotePrefix="0" xfId="0">
      <alignment horizontal="center" vertical="center"/>
    </xf>
    <xf numFmtId="0" fontId="9" fillId="3" borderId="1" applyAlignment="1" pivotButton="0" quotePrefix="0" xfId="0">
      <alignment horizontal="left" vertical="center"/>
    </xf>
    <xf numFmtId="0" fontId="8" fillId="6" borderId="1" applyAlignment="1" pivotButton="0" quotePrefix="0" xfId="0">
      <alignment horizontal="center" vertical="center"/>
    </xf>
    <xf numFmtId="0" fontId="9" fillId="6" borderId="1" applyAlignment="1" pivotButton="0" quotePrefix="0" xfId="0">
      <alignment horizontal="left" vertical="center"/>
    </xf>
    <xf numFmtId="0" fontId="8" fillId="6" borderId="1" applyAlignment="1" pivotButton="0" quotePrefix="0" xfId="0">
      <alignment horizontal="left" vertical="center"/>
    </xf>
    <xf numFmtId="0" fontId="9" fillId="6" borderId="1" applyAlignment="1" pivotButton="0" quotePrefix="0" xfId="0">
      <alignment horizontal="center" vertical="center"/>
    </xf>
    <xf numFmtId="0" fontId="6" fillId="45" borderId="1" applyAlignment="1" pivotButton="0" quotePrefix="0" xfId="0">
      <alignment horizontal="center" vertical="center"/>
    </xf>
    <xf numFmtId="0" fontId="8" fillId="10" borderId="1" applyAlignment="1" pivotButton="0" quotePrefix="0" xfId="0">
      <alignment horizontal="left" vertical="center"/>
    </xf>
    <xf numFmtId="0" fontId="8" fillId="4" borderId="1" applyAlignment="1" pivotButton="0" quotePrefix="0" xfId="0">
      <alignment horizontal="center" vertical="center"/>
    </xf>
    <xf numFmtId="0" fontId="8" fillId="4" borderId="1" applyAlignment="1" pivotButton="0" quotePrefix="0" xfId="0">
      <alignment horizontal="left" vertical="center"/>
    </xf>
    <xf numFmtId="0" fontId="9" fillId="4" borderId="1" applyAlignment="1" pivotButton="0" quotePrefix="0" xfId="0">
      <alignment horizontal="left" vertical="center"/>
    </xf>
    <xf numFmtId="0" fontId="8" fillId="31" borderId="1" applyAlignment="1" pivotButton="0" quotePrefix="0" xfId="0">
      <alignment horizontal="center"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9" fillId="41" borderId="1" applyAlignment="1" pivotButton="0" quotePrefix="0" xfId="0">
      <alignment horizontal="left" vertical="center"/>
    </xf>
    <xf numFmtId="0" fontId="6" fillId="42" borderId="1" applyAlignment="1" pivotButton="0" quotePrefix="0" xfId="0">
      <alignment horizontal="center"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10" borderId="1" applyAlignment="1" pivotButton="0" quotePrefix="0" xfId="0">
      <alignment horizontal="center" vertical="center"/>
    </xf>
    <xf numFmtId="0" fontId="6" fillId="38" borderId="1" applyAlignment="1" pivotButton="0" quotePrefix="0" xfId="0">
      <alignment horizontal="center" vertical="center"/>
    </xf>
    <xf numFmtId="0" fontId="12" fillId="4" borderId="1" applyAlignment="1" pivotButton="0" quotePrefix="0" xfId="0">
      <alignment horizontal="left" vertical="center"/>
    </xf>
    <xf numFmtId="0" fontId="9" fillId="7" borderId="1" applyAlignment="1" pivotButton="0" quotePrefix="0" xfId="0">
      <alignment horizontal="left" vertical="center"/>
    </xf>
    <xf numFmtId="0" fontId="9" fillId="10" borderId="1" applyAlignment="1" pivotButton="0" quotePrefix="0" xfId="0">
      <alignment horizontal="left" vertical="center"/>
    </xf>
    <xf numFmtId="0" fontId="6" fillId="48" borderId="1" applyAlignment="1" pivotButton="0" quotePrefix="0" xfId="0">
      <alignment horizontal="left" vertical="center"/>
    </xf>
    <xf numFmtId="0" fontId="9" fillId="48" borderId="1" applyAlignment="1" pivotButton="0" quotePrefix="0" xfId="0">
      <alignment horizontal="left" vertical="center"/>
    </xf>
    <xf numFmtId="0" fontId="10" fillId="49" borderId="1" applyAlignment="1" pivotButton="0" quotePrefix="0" xfId="0">
      <alignment horizontal="left" vertical="center" wrapText="1"/>
    </xf>
    <xf numFmtId="0" fontId="9" fillId="49" borderId="1" applyAlignment="1" pivotButton="0" quotePrefix="0" xfId="0">
      <alignment horizontal="left" vertical="center"/>
    </xf>
    <xf numFmtId="0" fontId="6" fillId="41" borderId="1" applyAlignment="1" pivotButton="0" quotePrefix="0" xfId="0">
      <alignment horizontal="center" vertical="center"/>
    </xf>
    <xf numFmtId="0" fontId="6" fillId="41" borderId="1" applyAlignment="1" pivotButton="0" quotePrefix="0" xfId="0">
      <alignment horizontal="left" vertical="center"/>
    </xf>
    <xf numFmtId="0" fontId="6" fillId="28" borderId="1" applyAlignment="1" pivotButton="0" quotePrefix="0" xfId="0">
      <alignment horizontal="center" vertical="center"/>
    </xf>
    <xf numFmtId="0" fontId="6" fillId="28" borderId="1" applyAlignment="1" pivotButton="0" quotePrefix="0" xfId="0">
      <alignment horizontal="left" vertical="center"/>
    </xf>
    <xf numFmtId="0" fontId="6" fillId="29" borderId="1" applyAlignment="1" pivotButton="0" quotePrefix="0" xfId="0">
      <alignment horizontal="center" vertical="center"/>
    </xf>
    <xf numFmtId="0" fontId="6" fillId="29" borderId="1" applyAlignment="1" pivotButton="0" quotePrefix="0" xfId="0">
      <alignment horizontal="left" vertical="center"/>
    </xf>
    <xf numFmtId="0" fontId="6" fillId="45" borderId="1" applyAlignment="1" pivotButton="0" quotePrefix="0" xfId="0">
      <alignment horizontal="center" vertical="center"/>
    </xf>
    <xf numFmtId="0" fontId="6" fillId="45" borderId="1" applyAlignment="1" pivotButton="0" quotePrefix="0" xfId="0">
      <alignment horizontal="left" vertical="center"/>
    </xf>
    <xf numFmtId="0" fontId="6" fillId="43" borderId="1" applyAlignment="1" pivotButton="0" quotePrefix="0" xfId="0">
      <alignment horizontal="center" vertical="center"/>
    </xf>
    <xf numFmtId="0" fontId="6" fillId="43" borderId="1" applyAlignment="1" pivotButton="0" quotePrefix="0" xfId="0">
      <alignment horizontal="left" vertical="center"/>
    </xf>
    <xf numFmtId="0" fontId="6" fillId="44" borderId="1" applyAlignment="1" pivotButton="0" quotePrefix="0" xfId="0">
      <alignment horizontal="center" vertical="center"/>
    </xf>
    <xf numFmtId="0" fontId="6" fillId="44" borderId="1" applyAlignment="1" pivotButton="0" quotePrefix="0" xfId="0">
      <alignment horizontal="left" vertical="center"/>
    </xf>
    <xf numFmtId="0" fontId="6" fillId="38" borderId="1" applyAlignment="1" pivotButton="0" quotePrefix="0" xfId="0">
      <alignment horizontal="center" vertical="center"/>
    </xf>
    <xf numFmtId="0" fontId="6" fillId="38"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6" borderId="1" applyAlignment="1" pivotButton="0" quotePrefix="0" xfId="0">
      <alignment horizontal="center" vertical="center"/>
    </xf>
    <xf numFmtId="0" fontId="8" fillId="6" borderId="1" applyAlignment="1" pivotButton="0" quotePrefix="0" xfId="0">
      <alignment horizontal="left" vertical="center"/>
    </xf>
    <xf numFmtId="0" fontId="9" fillId="6" borderId="1" applyAlignment="1" pivotButton="0" quotePrefix="0" xfId="0">
      <alignment horizontal="center" vertical="center"/>
    </xf>
    <xf numFmtId="0" fontId="8" fillId="7" borderId="1" applyAlignment="1" pivotButton="0" quotePrefix="0" xfId="0">
      <alignment horizontal="center" vertical="center"/>
    </xf>
    <xf numFmtId="0" fontId="8" fillId="7" borderId="1" applyAlignment="1" pivotButton="0" quotePrefix="0" xfId="0">
      <alignment horizontal="left" vertical="center"/>
    </xf>
    <xf numFmtId="0" fontId="9" fillId="7" borderId="1" applyAlignment="1" pivotButton="0" quotePrefix="0" xfId="0">
      <alignment horizontal="center" vertical="center"/>
    </xf>
    <xf numFmtId="0" fontId="9" fillId="7" borderId="1" applyAlignment="1" pivotButton="0" quotePrefix="0" xfId="0">
      <alignment horizontal="left" vertical="center" wrapText="1"/>
    </xf>
    <xf numFmtId="0" fontId="9" fillId="6" borderId="1" applyAlignment="1" pivotButton="0" quotePrefix="0" xfId="0">
      <alignment horizontal="left" vertical="center"/>
    </xf>
    <xf numFmtId="0" fontId="6" fillId="48" borderId="1" applyAlignment="1" pivotButton="0" quotePrefix="0" xfId="0">
      <alignment horizontal="center" vertical="center"/>
    </xf>
    <xf numFmtId="0" fontId="8" fillId="10" borderId="1" applyAlignment="1" pivotButton="0" quotePrefix="0" xfId="0">
      <alignment horizontal="left" vertical="center"/>
    </xf>
    <xf numFmtId="0" fontId="8" fillId="4" borderId="1" applyAlignment="1" pivotButton="0" quotePrefix="0" xfId="0">
      <alignment horizontal="center" vertical="center"/>
    </xf>
    <xf numFmtId="0" fontId="8" fillId="4" borderId="1" applyAlignment="1" pivotButton="0" quotePrefix="0" xfId="0">
      <alignment horizontal="left" vertical="center"/>
    </xf>
    <xf numFmtId="0" fontId="9" fillId="4" borderId="1" applyAlignment="1" pivotButton="0" quotePrefix="0" xfId="0">
      <alignment horizontal="left" vertical="center"/>
    </xf>
    <xf numFmtId="0" fontId="8" fillId="31" borderId="1" applyAlignment="1" pivotButton="0" quotePrefix="0" xfId="0">
      <alignment horizontal="center"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9" fillId="41" borderId="1" applyAlignment="1" pivotButton="0" quotePrefix="0" xfId="0">
      <alignment horizontal="left" vertical="center"/>
    </xf>
    <xf numFmtId="0" fontId="6" fillId="42" borderId="1" applyAlignment="1" pivotButton="0" quotePrefix="0" xfId="0">
      <alignment horizontal="center"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10" borderId="1" applyAlignment="1" pivotButton="0" quotePrefix="0" xfId="0">
      <alignment horizontal="center" vertical="center"/>
    </xf>
    <xf numFmtId="0" fontId="1" fillId="38" borderId="1" applyAlignment="1" pivotButton="0" quotePrefix="0" xfId="0">
      <alignment horizontal="left" vertical="center"/>
    </xf>
    <xf numFmtId="0" fontId="9" fillId="38" borderId="1" applyAlignment="1" pivotButton="0" quotePrefix="0" xfId="0">
      <alignment horizontal="left" vertical="center"/>
    </xf>
    <xf numFmtId="0" fontId="6" fillId="33" borderId="1" applyAlignment="1" pivotButton="0" quotePrefix="0" xfId="0">
      <alignment horizontal="center" vertical="center"/>
    </xf>
    <xf numFmtId="0" fontId="8" fillId="4" borderId="1" applyAlignment="1" pivotButton="0" quotePrefix="0" xfId="0">
      <alignment horizontal="left" vertical="center"/>
    </xf>
    <xf numFmtId="0" fontId="9" fillId="4" borderId="1" applyAlignment="1" pivotButton="0" quotePrefix="0" xfId="0">
      <alignment horizontal="center" vertical="center"/>
    </xf>
    <xf numFmtId="0" fontId="8" fillId="4" borderId="1" applyAlignment="1" pivotButton="0" quotePrefix="0" xfId="0">
      <alignment horizontal="center" vertical="center"/>
    </xf>
    <xf numFmtId="0" fontId="8" fillId="3" borderId="1" applyAlignment="1" pivotButton="0" quotePrefix="0" xfId="0">
      <alignment horizontal="left" vertical="center"/>
    </xf>
    <xf numFmtId="0" fontId="9" fillId="3" borderId="1" applyAlignment="1" pivotButton="0" quotePrefix="0" xfId="0">
      <alignment horizontal="center" vertical="center"/>
    </xf>
    <xf numFmtId="0" fontId="8" fillId="3" borderId="1" applyAlignment="1" pivotButton="0" quotePrefix="0" xfId="0">
      <alignment horizontal="center" vertical="center"/>
    </xf>
    <xf numFmtId="0" fontId="8" fillId="10" borderId="1" applyAlignment="1" pivotButton="0" quotePrefix="0" xfId="0">
      <alignment horizontal="left" vertical="center"/>
    </xf>
    <xf numFmtId="0" fontId="0" fillId="0" borderId="3" pivotButton="0" quotePrefix="0" xfId="0"/>
    <xf numFmtId="0" fontId="0" fillId="0" borderId="4" pivotButton="0" quotePrefix="0" xfId="0"/>
    <xf numFmtId="0" fontId="8" fillId="50" borderId="1" applyAlignment="1" pivotButton="0" quotePrefix="0" xfId="0">
      <alignment horizontal="left" vertical="center"/>
    </xf>
    <xf numFmtId="0" fontId="9" fillId="50" borderId="1" applyAlignment="1" pivotButton="0" quotePrefix="0" xfId="0">
      <alignment horizontal="left" vertical="center" wrapText="1"/>
    </xf>
    <xf numFmtId="0" fontId="2" fillId="30" borderId="1" applyAlignment="1" pivotButton="0" quotePrefix="0" xfId="0">
      <alignment horizontal="left" vertical="center"/>
    </xf>
    <xf numFmtId="0" fontId="3" fillId="30" borderId="1" applyAlignment="1" pivotButton="0" quotePrefix="0" xfId="0">
      <alignment horizontal="left" vertical="center"/>
    </xf>
    <xf numFmtId="0" fontId="3" fillId="30" borderId="1" applyAlignment="1" pivotButton="0" quotePrefix="0" xfId="0">
      <alignment horizontal="left" vertical="center" wrapText="1"/>
    </xf>
    <xf numFmtId="0" fontId="2" fillId="8" borderId="1" applyAlignment="1" pivotButton="0" quotePrefix="0" xfId="0">
      <alignment horizontal="left" vertical="center"/>
    </xf>
    <xf numFmtId="0" fontId="3" fillId="8" borderId="1" applyAlignment="1" pivotButton="0" quotePrefix="0" xfId="0">
      <alignment horizontal="left" vertical="center"/>
    </xf>
    <xf numFmtId="0" fontId="3" fillId="8" borderId="1" applyAlignment="1" pivotButton="0" quotePrefix="0" xfId="0">
      <alignment horizontal="left" vertical="center" wrapText="1"/>
    </xf>
    <xf numFmtId="0" fontId="2" fillId="21" borderId="1" applyAlignment="1" pivotButton="0" quotePrefix="0" xfId="0">
      <alignment horizontal="left" vertical="center"/>
    </xf>
    <xf numFmtId="0" fontId="3" fillId="21" borderId="1" applyAlignment="1" pivotButton="0" quotePrefix="0" xfId="0">
      <alignment horizontal="left" vertical="center"/>
    </xf>
    <xf numFmtId="0" fontId="3" fillId="21" borderId="1" applyAlignment="1" pivotButton="0" quotePrefix="0" xfId="0">
      <alignment horizontal="left" vertical="center" wrapText="1"/>
    </xf>
    <xf numFmtId="0" fontId="2" fillId="4" borderId="1" applyAlignment="1" pivotButton="0" quotePrefix="0" xfId="0">
      <alignment horizontal="left" vertical="center"/>
    </xf>
    <xf numFmtId="0" fontId="3" fillId="4" borderId="1" applyAlignment="1" pivotButton="0" quotePrefix="0" xfId="0">
      <alignment horizontal="left" vertical="center"/>
    </xf>
    <xf numFmtId="0" fontId="3" fillId="4" borderId="1" applyAlignment="1" pivotButton="0" quotePrefix="0" xfId="0">
      <alignment horizontal="left" vertical="center" wrapText="1"/>
    </xf>
    <xf numFmtId="0" fontId="2" fillId="10" borderId="1" applyAlignment="1" pivotButton="0" quotePrefix="0" xfId="0">
      <alignment horizontal="left" vertical="center"/>
    </xf>
    <xf numFmtId="0" fontId="3" fillId="10" borderId="1" applyAlignment="1" pivotButton="0" quotePrefix="0" xfId="0">
      <alignment horizontal="left" vertical="center"/>
    </xf>
    <xf numFmtId="0" fontId="3" fillId="10" borderId="1" applyAlignment="1" pivotButton="0" quotePrefix="0" xfId="0">
      <alignment horizontal="left" vertical="center" wrapText="1"/>
    </xf>
    <xf numFmtId="0" fontId="9" fillId="30" borderId="1" applyAlignment="1" pivotButton="0" quotePrefix="0" xfId="0">
      <alignment horizontal="left" vertical="center"/>
    </xf>
    <xf numFmtId="0" fontId="9" fillId="8" borderId="1" applyAlignment="1" pivotButton="0" quotePrefix="0" xfId="0">
      <alignment horizontal="left" vertical="center"/>
    </xf>
    <xf numFmtId="0" fontId="9" fillId="10" borderId="1" applyAlignment="1" pivotButton="0" quotePrefix="0" xfId="0">
      <alignment horizontal="left" vertical="center"/>
    </xf>
    <xf numFmtId="0" fontId="9" fillId="4" borderId="1" applyAlignment="1" pivotButton="0" quotePrefix="0" xfId="0">
      <alignment horizontal="left" vertical="center"/>
    </xf>
    <xf numFmtId="0" fontId="9" fillId="49" borderId="1" applyAlignment="1" pivotButton="0" quotePrefix="0" xfId="0">
      <alignment horizontal="left" vertical="center"/>
    </xf>
    <xf numFmtId="0" fontId="6" fillId="41" borderId="1" applyAlignment="1" pivotButton="0" quotePrefix="0" xfId="0">
      <alignment horizontal="left" vertical="center"/>
    </xf>
    <xf numFmtId="0" fontId="9" fillId="41" borderId="1" applyAlignment="1" pivotButton="0" quotePrefix="0" xfId="0">
      <alignment horizontal="left" vertical="center"/>
    </xf>
    <xf numFmtId="0" fontId="10" fillId="51" borderId="1" applyAlignment="1" pivotButton="0" quotePrefix="0" xfId="0">
      <alignment horizontal="left" vertical="center" wrapText="1"/>
    </xf>
    <xf numFmtId="0" fontId="9" fillId="51" borderId="1" applyAlignment="1" pivotButton="0" quotePrefix="0" xfId="0">
      <alignment horizontal="left" vertical="center"/>
    </xf>
    <xf numFmtId="0" fontId="6" fillId="48" borderId="1" applyAlignment="1" pivotButton="0" quotePrefix="0" xfId="0">
      <alignment horizontal="left" vertical="center"/>
    </xf>
    <xf numFmtId="0" fontId="9" fillId="48" borderId="1" applyAlignment="1" pivotButton="0" quotePrefix="0" xfId="0">
      <alignment horizontal="left" vertical="center"/>
    </xf>
    <xf numFmtId="0" fontId="6" fillId="41" borderId="1" applyAlignment="1" pivotButton="0" quotePrefix="0" xfId="0">
      <alignment horizontal="center" vertical="center"/>
    </xf>
    <xf numFmtId="0" fontId="9" fillId="10" borderId="1" applyAlignment="1" pivotButton="0" quotePrefix="0" xfId="0">
      <alignment horizontal="left" vertical="center"/>
    </xf>
    <xf numFmtId="0" fontId="6" fillId="28" borderId="1" applyAlignment="1" pivotButton="0" quotePrefix="0" xfId="0">
      <alignment horizontal="center" vertical="center"/>
    </xf>
    <xf numFmtId="0" fontId="6" fillId="28" borderId="1" applyAlignment="1" pivotButton="0" quotePrefix="0" xfId="0">
      <alignment horizontal="left" vertical="center"/>
    </xf>
    <xf numFmtId="0" fontId="6" fillId="29" borderId="1" applyAlignment="1" pivotButton="0" quotePrefix="0" xfId="0">
      <alignment horizontal="center" vertical="center"/>
    </xf>
    <xf numFmtId="0" fontId="6" fillId="29" borderId="1" applyAlignment="1" pivotButton="0" quotePrefix="0" xfId="0">
      <alignment horizontal="left" vertical="center"/>
    </xf>
    <xf numFmtId="0" fontId="6" fillId="45" borderId="1" applyAlignment="1" pivotButton="0" quotePrefix="0" xfId="0">
      <alignment horizontal="center" vertical="center"/>
    </xf>
    <xf numFmtId="0" fontId="6" fillId="45" borderId="1" applyAlignment="1" pivotButton="0" quotePrefix="0" xfId="0">
      <alignment horizontal="left" vertical="center"/>
    </xf>
    <xf numFmtId="0" fontId="6" fillId="43" borderId="1" applyAlignment="1" pivotButton="0" quotePrefix="0" xfId="0">
      <alignment horizontal="center" vertical="center"/>
    </xf>
    <xf numFmtId="0" fontId="6" fillId="43" borderId="1" applyAlignment="1" pivotButton="0" quotePrefix="0" xfId="0">
      <alignment horizontal="left" vertical="center"/>
    </xf>
    <xf numFmtId="0" fontId="6" fillId="44" borderId="1" applyAlignment="1" pivotButton="0" quotePrefix="0" xfId="0">
      <alignment horizontal="center" vertical="center"/>
    </xf>
    <xf numFmtId="0" fontId="6" fillId="44" borderId="1" applyAlignment="1" pivotButton="0" quotePrefix="0" xfId="0">
      <alignment horizontal="left" vertical="center"/>
    </xf>
    <xf numFmtId="0" fontId="6" fillId="38" borderId="1" applyAlignment="1" pivotButton="0" quotePrefix="0" xfId="0">
      <alignment horizontal="center" vertical="center"/>
    </xf>
    <xf numFmtId="0" fontId="6" fillId="38"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6" borderId="1" applyAlignment="1" pivotButton="0" quotePrefix="0" xfId="0">
      <alignment horizontal="center" vertical="center"/>
    </xf>
    <xf numFmtId="0" fontId="8" fillId="6" borderId="1" applyAlignment="1" pivotButton="0" quotePrefix="0" xfId="0">
      <alignment horizontal="left" vertical="center"/>
    </xf>
    <xf numFmtId="0" fontId="9" fillId="6" borderId="1" applyAlignment="1" pivotButton="0" quotePrefix="0" xfId="0">
      <alignment horizontal="center" vertical="center"/>
    </xf>
    <xf numFmtId="0" fontId="8" fillId="7" borderId="1" applyAlignment="1" pivotButton="0" quotePrefix="0" xfId="0">
      <alignment horizontal="center" vertical="center"/>
    </xf>
    <xf numFmtId="0" fontId="8" fillId="7" borderId="1" applyAlignment="1" pivotButton="0" quotePrefix="0" xfId="0">
      <alignment horizontal="left" vertical="center"/>
    </xf>
    <xf numFmtId="0" fontId="9" fillId="7" borderId="1" applyAlignment="1" pivotButton="0" quotePrefix="0" xfId="0">
      <alignment horizontal="center" vertical="center"/>
    </xf>
    <xf numFmtId="0" fontId="9" fillId="7" borderId="1" applyAlignment="1" pivotButton="0" quotePrefix="0" xfId="0">
      <alignment horizontal="left" vertical="center"/>
    </xf>
    <xf numFmtId="0" fontId="9" fillId="6" borderId="1" applyAlignment="1" pivotButton="0" quotePrefix="0" xfId="0">
      <alignment horizontal="left" vertical="center"/>
    </xf>
    <xf numFmtId="0" fontId="8" fillId="10" borderId="1" applyAlignment="1" pivotButton="0" quotePrefix="0" xfId="0">
      <alignment horizontal="left" vertical="center"/>
    </xf>
    <xf numFmtId="0" fontId="8" fillId="4" borderId="1" applyAlignment="1" pivotButton="0" quotePrefix="0" xfId="0">
      <alignment horizontal="center" vertical="center"/>
    </xf>
    <xf numFmtId="0" fontId="8" fillId="4" borderId="1" applyAlignment="1" pivotButton="0" quotePrefix="0" xfId="0">
      <alignment horizontal="left" vertical="center"/>
    </xf>
    <xf numFmtId="0" fontId="9" fillId="4" borderId="1" applyAlignment="1" pivotButton="0" quotePrefix="0" xfId="0">
      <alignment horizontal="left" vertical="center"/>
    </xf>
    <xf numFmtId="0" fontId="8" fillId="31" borderId="1" applyAlignment="1" pivotButton="0" quotePrefix="0" xfId="0">
      <alignment horizontal="center"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6" fillId="42" borderId="1" applyAlignment="1" pivotButton="0" quotePrefix="0" xfId="0">
      <alignment horizontal="center"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10" borderId="1" applyAlignment="1" pivotButton="0" quotePrefix="0" xfId="0">
      <alignment horizontal="center" vertical="center"/>
    </xf>
    <xf numFmtId="0" fontId="1" fillId="52" borderId="1" applyAlignment="1" pivotButton="0" quotePrefix="0" xfId="0">
      <alignment horizontal="left" vertical="center"/>
    </xf>
    <xf numFmtId="0" fontId="9" fillId="52" borderId="1" applyAlignment="1" pivotButton="0" quotePrefix="0" xfId="0">
      <alignment horizontal="left" vertical="center"/>
    </xf>
    <xf numFmtId="0" fontId="9" fillId="53" borderId="1" applyAlignment="1" pivotButton="0" quotePrefix="0" xfId="0">
      <alignment horizontal="left" vertical="center"/>
    </xf>
    <xf numFmtId="0" fontId="13" fillId="54" borderId="1" applyAlignment="1" pivotButton="0" quotePrefix="0" xfId="0">
      <alignment horizontal="left" vertical="center" wrapText="1"/>
    </xf>
    <xf numFmtId="0" fontId="9" fillId="54" borderId="1" applyAlignment="1" pivotButton="0" quotePrefix="0" xfId="0">
      <alignment horizontal="left" vertical="center"/>
    </xf>
    <xf numFmtId="0" fontId="6" fillId="54" borderId="1" applyAlignment="1" pivotButton="0" quotePrefix="0" xfId="0">
      <alignment horizontal="center" vertical="center"/>
    </xf>
    <xf numFmtId="0" fontId="8" fillId="4" borderId="1" applyAlignment="1" pivotButton="0" quotePrefix="0" xfId="0">
      <alignment horizontal="left" vertical="center"/>
    </xf>
    <xf numFmtId="0" fontId="9" fillId="55" borderId="1" applyAlignment="1" pivotButton="0" quotePrefix="0" xfId="0">
      <alignment horizontal="center" vertical="center"/>
    </xf>
    <xf numFmtId="0" fontId="8" fillId="4" borderId="1" applyAlignment="1" pivotButton="0" quotePrefix="0" xfId="0">
      <alignment horizontal="center" vertical="center"/>
    </xf>
    <xf numFmtId="0" fontId="8" fillId="3" borderId="1" applyAlignment="1" pivotButton="0" quotePrefix="0" xfId="0">
      <alignment horizontal="left" vertical="center"/>
    </xf>
    <xf numFmtId="0" fontId="9" fillId="30" borderId="1" applyAlignment="1" pivotButton="0" quotePrefix="0" xfId="0">
      <alignment horizontal="center" vertical="center"/>
    </xf>
    <xf numFmtId="0" fontId="8" fillId="3" borderId="1" applyAlignment="1" pivotButton="0" quotePrefix="0" xfId="0">
      <alignment horizontal="center" vertical="center"/>
    </xf>
    <xf numFmtId="0" fontId="8" fillId="7" borderId="1" applyAlignment="1" pivotButton="0" quotePrefix="0" xfId="0">
      <alignment horizontal="left" vertical="center"/>
    </xf>
    <xf numFmtId="0" fontId="9" fillId="8" borderId="1" applyAlignment="1" pivotButton="0" quotePrefix="0" xfId="0">
      <alignment horizontal="center" vertical="center"/>
    </xf>
    <xf numFmtId="0" fontId="9" fillId="3" borderId="1" applyAlignment="1" pivotButton="0" quotePrefix="0" xfId="0">
      <alignment horizontal="center" vertical="center"/>
    </xf>
    <xf numFmtId="0" fontId="8" fillId="7" borderId="1" applyAlignment="1" pivotButton="0" quotePrefix="0" xfId="0">
      <alignment horizontal="center" vertical="center"/>
    </xf>
    <xf numFmtId="0" fontId="14" fillId="50" borderId="1" applyAlignment="1" pivotButton="0" quotePrefix="0" xfId="0">
      <alignment horizontal="left" vertical="center"/>
    </xf>
    <xf numFmtId="0" fontId="9" fillId="50" borderId="1" applyAlignment="1" pivotButton="0" quotePrefix="0" xfId="0">
      <alignment horizontal="left" vertical="center"/>
    </xf>
    <xf numFmtId="0" fontId="6" fillId="41" borderId="1" applyAlignment="1" pivotButton="0" quotePrefix="0" xfId="0">
      <alignment horizontal="center" vertical="center"/>
    </xf>
    <xf numFmtId="0" fontId="9" fillId="4" borderId="1" applyAlignment="1" pivotButton="0" quotePrefix="0" xfId="0">
      <alignment horizontal="left" vertical="center"/>
    </xf>
    <xf numFmtId="0" fontId="9" fillId="3" borderId="1" applyAlignment="1" pivotButton="0" quotePrefix="0" xfId="0">
      <alignment horizontal="left" vertical="center"/>
    </xf>
    <xf numFmtId="0" fontId="8" fillId="55" borderId="1" applyAlignment="1" pivotButton="0" quotePrefix="0" xfId="0">
      <alignment horizontal="center" vertical="center"/>
    </xf>
    <xf numFmtId="0" fontId="9" fillId="7" borderId="1" applyAlignment="1" pivotButton="0" quotePrefix="0" xfId="0">
      <alignment horizontal="left" vertical="center"/>
    </xf>
    <xf numFmtId="0" fontId="14" fillId="4" borderId="1" applyAlignment="1" pivotButton="0" quotePrefix="0" xfId="0">
      <alignment horizontal="left" vertical="center" wrapText="1"/>
    </xf>
    <xf numFmtId="0" fontId="14" fillId="3" borderId="1" applyAlignment="1" pivotButton="0" quotePrefix="0" xfId="0">
      <alignment horizontal="left" vertical="center" wrapText="1"/>
    </xf>
    <xf numFmtId="0" fontId="14" fillId="7" borderId="1" applyAlignment="1" pivotButton="0" quotePrefix="0" xfId="0">
      <alignment horizontal="left" vertical="center" wrapText="1"/>
    </xf>
    <xf numFmtId="0" fontId="1" fillId="33" borderId="1" applyAlignment="1" pivotButton="0" quotePrefix="0" xfId="0">
      <alignment horizontal="left" vertical="center"/>
    </xf>
    <xf numFmtId="0" fontId="9" fillId="33" borderId="1" applyAlignment="1" pivotButton="0" quotePrefix="0" xfId="0">
      <alignment horizontal="left" vertical="center"/>
    </xf>
    <xf numFmtId="0" fontId="8" fillId="10" borderId="1" applyAlignment="1" pivotButton="0" quotePrefix="0" xfId="0">
      <alignment horizontal="left" vertical="center"/>
    </xf>
    <xf numFmtId="0" fontId="9" fillId="10" borderId="1" applyAlignment="1" pivotButton="0" quotePrefix="0" xfId="0">
      <alignment horizontal="left" vertical="center"/>
    </xf>
    <xf numFmtId="0" fontId="1" fillId="56" borderId="1" applyAlignment="1" pivotButton="0" quotePrefix="0" xfId="0">
      <alignment horizontal="left" vertical="center"/>
    </xf>
    <xf numFmtId="0" fontId="9" fillId="56" borderId="1" applyAlignment="1" pivotButton="0" quotePrefix="0" xfId="0">
      <alignment horizontal="left" vertical="center"/>
    </xf>
    <xf numFmtId="0" fontId="10" fillId="57" borderId="1" applyAlignment="1" pivotButton="0" quotePrefix="0" xfId="0">
      <alignment horizontal="left" vertical="center" wrapText="1"/>
    </xf>
    <xf numFmtId="0" fontId="9" fillId="57" borderId="1" applyAlignment="1" pivotButton="0" quotePrefix="0" xfId="0">
      <alignment horizontal="left" vertical="center"/>
    </xf>
    <xf numFmtId="0" fontId="9" fillId="53" borderId="1" applyAlignment="1" pivotButton="0" quotePrefix="0" xfId="0">
      <alignment horizontal="left" vertical="center"/>
    </xf>
    <xf numFmtId="0" fontId="6" fillId="56" borderId="1" applyAlignment="1" pivotButton="0" quotePrefix="0" xfId="0">
      <alignment horizontal="left" vertical="center"/>
    </xf>
    <xf numFmtId="0" fontId="8" fillId="4" borderId="1" applyAlignment="1" pivotButton="0" quotePrefix="0" xfId="0">
      <alignment horizontal="left" vertical="center"/>
    </xf>
    <xf numFmtId="0" fontId="9" fillId="4" borderId="1" applyAlignment="1" pivotButton="0" quotePrefix="0" xfId="0">
      <alignment horizontal="left" vertical="center"/>
    </xf>
    <xf numFmtId="0" fontId="6" fillId="58" borderId="1" applyAlignment="1" pivotButton="0" quotePrefix="0" xfId="0">
      <alignment horizontal="left" vertical="center"/>
    </xf>
    <xf numFmtId="0" fontId="9" fillId="58" borderId="1" applyAlignment="1" pivotButton="0" quotePrefix="0" xfId="0">
      <alignment horizontal="left" vertical="center"/>
    </xf>
    <xf numFmtId="0" fontId="6" fillId="56" borderId="1" applyAlignment="1" pivotButton="0" quotePrefix="0" xfId="0">
      <alignment horizontal="center" vertical="center"/>
    </xf>
    <xf numFmtId="0" fontId="9" fillId="10" borderId="1" applyAlignment="1" pivotButton="0" quotePrefix="0" xfId="0">
      <alignment horizontal="left" vertical="center"/>
    </xf>
    <xf numFmtId="0" fontId="6" fillId="57" borderId="1" applyAlignment="1" pivotButton="0" quotePrefix="0" xfId="0">
      <alignment horizontal="center" vertical="center"/>
    </xf>
    <xf numFmtId="0" fontId="6" fillId="57" borderId="1" applyAlignment="1" pivotButton="0" quotePrefix="0" xfId="0">
      <alignment horizontal="left" vertical="center"/>
    </xf>
    <xf numFmtId="0" fontId="6" fillId="29" borderId="1" applyAlignment="1" pivotButton="0" quotePrefix="0" xfId="0">
      <alignment horizontal="center" vertical="center"/>
    </xf>
    <xf numFmtId="0" fontId="6" fillId="29" borderId="1" applyAlignment="1" pivotButton="0" quotePrefix="0" xfId="0">
      <alignment horizontal="left" vertical="center"/>
    </xf>
    <xf numFmtId="0" fontId="6" fillId="45" borderId="1" applyAlignment="1" pivotButton="0" quotePrefix="0" xfId="0">
      <alignment horizontal="center" vertical="center"/>
    </xf>
    <xf numFmtId="0" fontId="6" fillId="45" borderId="1" applyAlignment="1" pivotButton="0" quotePrefix="0" xfId="0">
      <alignment horizontal="left" vertical="center"/>
    </xf>
    <xf numFmtId="0" fontId="6" fillId="51" borderId="1" applyAlignment="1" pivotButton="0" quotePrefix="0" xfId="0">
      <alignment horizontal="center" vertical="center"/>
    </xf>
    <xf numFmtId="0" fontId="6" fillId="51" borderId="1" applyAlignment="1" pivotButton="0" quotePrefix="0" xfId="0">
      <alignment horizontal="left" vertical="center"/>
    </xf>
    <xf numFmtId="0" fontId="6" fillId="44" borderId="1" applyAlignment="1" pivotButton="0" quotePrefix="0" xfId="0">
      <alignment horizontal="center" vertical="center"/>
    </xf>
    <xf numFmtId="0" fontId="6" fillId="44" borderId="1" applyAlignment="1" pivotButton="0" quotePrefix="0" xfId="0">
      <alignment horizontal="left" vertical="center"/>
    </xf>
    <xf numFmtId="0" fontId="6" fillId="38" borderId="1" applyAlignment="1" pivotButton="0" quotePrefix="0" xfId="0">
      <alignment horizontal="center" vertical="center"/>
    </xf>
    <xf numFmtId="0" fontId="6" fillId="38" borderId="1" applyAlignment="1" pivotButton="0" quotePrefix="0" xfId="0">
      <alignment horizontal="left" vertical="center"/>
    </xf>
    <xf numFmtId="0" fontId="6" fillId="36" borderId="1" applyAlignment="1" pivotButton="0" quotePrefix="0" xfId="0">
      <alignment horizontal="center" vertical="center"/>
    </xf>
    <xf numFmtId="0" fontId="8" fillId="5" borderId="1" applyAlignment="1" pivotButton="0" quotePrefix="0" xfId="0">
      <alignment horizontal="center" vertical="center"/>
    </xf>
    <xf numFmtId="0" fontId="8" fillId="5" borderId="1" applyAlignment="1" pivotButton="0" quotePrefix="0" xfId="0">
      <alignment horizontal="left" vertical="center"/>
    </xf>
    <xf numFmtId="0" fontId="9" fillId="5" borderId="1" applyAlignment="1" pivotButton="0" quotePrefix="0" xfId="0">
      <alignment horizontal="left" vertical="center"/>
    </xf>
    <xf numFmtId="0" fontId="9" fillId="5" borderId="1" applyAlignment="1" pivotButton="0" quotePrefix="0" xfId="0">
      <alignment horizontal="center" vertical="center"/>
    </xf>
    <xf numFmtId="0" fontId="9" fillId="5" borderId="1" applyAlignment="1" pivotButton="0" quotePrefix="0" xfId="0">
      <alignment horizontal="left" vertical="center" wrapText="1"/>
    </xf>
    <xf numFmtId="0" fontId="8" fillId="7" borderId="1" applyAlignment="1" pivotButton="0" quotePrefix="0" xfId="0">
      <alignment horizontal="center" vertical="center"/>
    </xf>
    <xf numFmtId="0" fontId="8" fillId="7" borderId="1" applyAlignment="1" pivotButton="0" quotePrefix="0" xfId="0">
      <alignment horizontal="left" vertical="center"/>
    </xf>
    <xf numFmtId="0" fontId="9" fillId="7" borderId="1" applyAlignment="1" pivotButton="0" quotePrefix="0" xfId="0">
      <alignment horizontal="left" vertical="center"/>
    </xf>
    <xf numFmtId="0" fontId="9" fillId="7" borderId="1" applyAlignment="1" pivotButton="0" quotePrefix="0" xfId="0">
      <alignment horizontal="center" vertical="center"/>
    </xf>
    <xf numFmtId="0" fontId="8" fillId="10" borderId="1" applyAlignment="1" pivotButton="0" quotePrefix="0" xfId="0">
      <alignment horizontal="left" vertical="center"/>
    </xf>
    <xf numFmtId="0" fontId="8" fillId="4" borderId="1" applyAlignment="1" pivotButton="0" quotePrefix="0" xfId="0">
      <alignment horizontal="center" vertical="center"/>
    </xf>
    <xf numFmtId="0" fontId="8" fillId="31" borderId="1" applyAlignment="1" pivotButton="0" quotePrefix="0" xfId="0">
      <alignment horizontal="center"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6" fillId="41" borderId="1" applyAlignment="1" pivotButton="0" quotePrefix="0" xfId="0">
      <alignment horizontal="left" vertical="center"/>
    </xf>
    <xf numFmtId="0" fontId="9" fillId="41" borderId="1" applyAlignment="1" pivotButton="0" quotePrefix="0" xfId="0">
      <alignment horizontal="left" vertical="center"/>
    </xf>
    <xf numFmtId="0" fontId="6" fillId="42" borderId="1" applyAlignment="1" pivotButton="0" quotePrefix="0" xfId="0">
      <alignment horizontal="center"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10" borderId="1" applyAlignment="1" pivotButton="0" quotePrefix="0" xfId="0">
      <alignment horizontal="center" vertical="center"/>
    </xf>
    <xf numFmtId="0" fontId="15" fillId="59" borderId="1" applyAlignment="1" pivotButton="0" quotePrefix="0" xfId="0">
      <alignment horizontal="left" vertical="center"/>
    </xf>
    <xf numFmtId="0" fontId="9" fillId="59" borderId="1" applyAlignment="1" pivotButton="0" quotePrefix="0" xfId="0">
      <alignment horizontal="left" vertical="center"/>
    </xf>
    <xf numFmtId="0" fontId="10" fillId="25" borderId="1" applyAlignment="1" pivotButton="0" quotePrefix="0" xfId="0">
      <alignment horizontal="left" vertical="center" wrapText="1"/>
    </xf>
    <xf numFmtId="0" fontId="9" fillId="25" borderId="1" applyAlignment="1" pivotButton="0" quotePrefix="0" xfId="0">
      <alignment horizontal="left" vertical="center"/>
    </xf>
    <xf numFmtId="0" fontId="9" fillId="53" borderId="1" applyAlignment="1" pivotButton="0" quotePrefix="0" xfId="0">
      <alignment horizontal="left" vertical="center"/>
    </xf>
    <xf numFmtId="0" fontId="6" fillId="59" borderId="1" applyAlignment="1" pivotButton="0" quotePrefix="0" xfId="0">
      <alignment horizontal="left" vertical="center"/>
    </xf>
    <xf numFmtId="0" fontId="6" fillId="60" borderId="1" applyAlignment="1" pivotButton="0" quotePrefix="0" xfId="0">
      <alignment horizontal="center" vertical="center"/>
    </xf>
    <xf numFmtId="0" fontId="8" fillId="30" borderId="1" applyAlignment="1" pivotButton="0" quotePrefix="0" xfId="0">
      <alignment horizontal="left" vertical="center"/>
    </xf>
    <xf numFmtId="0" fontId="8" fillId="30" borderId="1" applyAlignment="1" pivotButton="0" quotePrefix="0" xfId="0">
      <alignment horizontal="center" vertical="center"/>
    </xf>
    <xf numFmtId="0" fontId="9" fillId="30" borderId="1" applyAlignment="1" pivotButton="0" quotePrefix="0" xfId="0">
      <alignment horizontal="left" vertical="center"/>
    </xf>
    <xf numFmtId="0" fontId="8" fillId="4" borderId="1" applyAlignment="1" pivotButton="0" quotePrefix="0" xfId="0">
      <alignment horizontal="left" vertical="center"/>
    </xf>
    <xf numFmtId="0" fontId="8" fillId="4" borderId="1" applyAlignment="1" pivotButton="0" quotePrefix="0" xfId="0">
      <alignment horizontal="center" vertical="center"/>
    </xf>
    <xf numFmtId="0" fontId="9" fillId="4" borderId="1" applyAlignment="1" pivotButton="0" quotePrefix="0" xfId="0">
      <alignment horizontal="left" vertical="center"/>
    </xf>
    <xf numFmtId="0" fontId="8" fillId="8" borderId="1" applyAlignment="1" pivotButton="0" quotePrefix="0" xfId="0">
      <alignment horizontal="left" vertical="center"/>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6" fillId="59" borderId="1" applyAlignment="1" pivotButton="0" quotePrefix="0" xfId="0">
      <alignment horizontal="center" vertical="center"/>
    </xf>
    <xf numFmtId="0" fontId="10" fillId="59" borderId="1" applyAlignment="1" pivotButton="0" quotePrefix="0" xfId="0">
      <alignment horizontal="left" vertical="center" wrapText="1"/>
    </xf>
    <xf numFmtId="0" fontId="9" fillId="61" borderId="1" applyAlignment="1" pivotButton="0" quotePrefix="0" xfId="0">
      <alignment horizontal="left" vertical="center" wrapText="1"/>
    </xf>
    <xf numFmtId="0" fontId="9" fillId="61" borderId="1" applyAlignment="1" pivotButton="0" quotePrefix="0" xfId="0">
      <alignment horizontal="left" vertical="center"/>
    </xf>
    <xf numFmtId="0" fontId="6" fillId="25" borderId="1" applyAlignment="1" pivotButton="0" quotePrefix="0" xfId="0">
      <alignment horizontal="center" vertical="center"/>
    </xf>
    <xf numFmtId="0" fontId="6" fillId="25" borderId="1" applyAlignment="1" pivotButton="0" quotePrefix="0" xfId="0">
      <alignment horizontal="left" vertical="center"/>
    </xf>
    <xf numFmtId="0" fontId="6" fillId="62" borderId="1" applyAlignment="1" pivotButton="0" quotePrefix="0" xfId="0">
      <alignment horizontal="center" vertical="center"/>
    </xf>
    <xf numFmtId="0" fontId="6" fillId="62" borderId="1" applyAlignment="1" pivotButton="0" quotePrefix="0" xfId="0">
      <alignment horizontal="left" vertical="center"/>
    </xf>
    <xf numFmtId="0" fontId="6" fillId="63" borderId="1" applyAlignment="1" pivotButton="0" quotePrefix="0" xfId="0">
      <alignment horizontal="center" vertical="center"/>
    </xf>
    <xf numFmtId="0" fontId="6" fillId="63" borderId="1" applyAlignment="1" pivotButton="0" quotePrefix="0" xfId="0">
      <alignment horizontal="left" vertical="center"/>
    </xf>
    <xf numFmtId="0" fontId="6" fillId="64" borderId="1" applyAlignment="1" pivotButton="0" quotePrefix="0" xfId="0">
      <alignment horizontal="center" vertical="center"/>
    </xf>
    <xf numFmtId="0" fontId="6" fillId="64" borderId="1" applyAlignment="1" pivotButton="0" quotePrefix="0" xfId="0">
      <alignment horizontal="left" vertical="center"/>
    </xf>
    <xf numFmtId="0" fontId="8" fillId="65" borderId="1" applyAlignment="1" pivotButton="0" quotePrefix="0" xfId="0">
      <alignment horizontal="center" vertical="center"/>
    </xf>
    <xf numFmtId="0" fontId="8" fillId="65" borderId="1" applyAlignment="1" pivotButton="0" quotePrefix="0" xfId="0">
      <alignment horizontal="left" vertical="center"/>
    </xf>
    <xf numFmtId="0" fontId="9" fillId="65" borderId="1" applyAlignment="1" pivotButton="0" quotePrefix="0" xfId="0">
      <alignment horizontal="left" vertical="center"/>
    </xf>
    <xf numFmtId="0" fontId="9" fillId="65" borderId="1" applyAlignment="1" pivotButton="0" quotePrefix="0" xfId="0">
      <alignment horizontal="center" vertical="center"/>
    </xf>
    <xf numFmtId="0" fontId="9" fillId="65" borderId="1" applyAlignment="1" pivotButton="0" quotePrefix="0" xfId="0">
      <alignment horizontal="left" vertical="center" wrapText="1"/>
    </xf>
    <xf numFmtId="0" fontId="8" fillId="3" borderId="1" applyAlignment="1" pivotButton="0" quotePrefix="0" xfId="0">
      <alignment horizontal="center" vertical="center"/>
    </xf>
    <xf numFmtId="0" fontId="8" fillId="3" borderId="1" applyAlignment="1" pivotButton="0" quotePrefix="0" xfId="0">
      <alignment horizontal="left" vertical="center"/>
    </xf>
    <xf numFmtId="0" fontId="9" fillId="3" borderId="1" applyAlignment="1" pivotButton="0" quotePrefix="0" xfId="0">
      <alignment horizontal="left" vertical="center"/>
    </xf>
    <xf numFmtId="0" fontId="9" fillId="3" borderId="1" applyAlignment="1" pivotButton="0" quotePrefix="0" xfId="0">
      <alignment horizontal="center" vertical="center"/>
    </xf>
    <xf numFmtId="0" fontId="8" fillId="61" borderId="1" applyAlignment="1" pivotButton="0" quotePrefix="0" xfId="0">
      <alignment horizontal="left" vertical="center"/>
    </xf>
    <xf numFmtId="0" fontId="9" fillId="64" borderId="1" applyAlignment="1" pivotButton="0" quotePrefix="0" xfId="0">
      <alignment horizontal="left" vertical="center"/>
    </xf>
    <xf numFmtId="0" fontId="6" fillId="66" borderId="1" applyAlignment="1" pivotButton="0" quotePrefix="0" xfId="0">
      <alignment horizontal="center"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61" borderId="1" applyAlignment="1" pivotButton="0" quotePrefix="0" xfId="0">
      <alignment horizontal="center" vertical="center"/>
    </xf>
    <xf numFmtId="0" fontId="9" fillId="27" borderId="0" pivotButton="0" quotePrefix="0" xfId="0"/>
    <xf numFmtId="0" fontId="15" fillId="58" borderId="1" applyAlignment="1" pivotButton="0" quotePrefix="0" xfId="0">
      <alignment horizontal="left" vertical="center"/>
    </xf>
    <xf numFmtId="0" fontId="9" fillId="58" borderId="1" applyAlignment="1" pivotButton="0" quotePrefix="0" xfId="0">
      <alignment horizontal="left" vertical="center"/>
    </xf>
    <xf numFmtId="0" fontId="10" fillId="40" borderId="1" applyAlignment="1" pivotButton="0" quotePrefix="0" xfId="0">
      <alignment horizontal="left" vertical="center" wrapText="1"/>
    </xf>
    <xf numFmtId="0" fontId="9" fillId="40" borderId="1" applyAlignment="1" pivotButton="0" quotePrefix="0" xfId="0">
      <alignment horizontal="left" vertical="center"/>
    </xf>
    <xf numFmtId="0" fontId="9" fillId="53" borderId="1" applyAlignment="1" pivotButton="0" quotePrefix="0" xfId="0">
      <alignment horizontal="left" vertical="center"/>
    </xf>
    <xf numFmtId="0" fontId="6" fillId="58" borderId="1" applyAlignment="1" pivotButton="0" quotePrefix="0" xfId="0">
      <alignment horizontal="left" vertical="center"/>
    </xf>
    <xf numFmtId="0" fontId="6" fillId="60" borderId="1" applyAlignment="1" pivotButton="0" quotePrefix="0" xfId="0">
      <alignment horizontal="center" vertical="center"/>
    </xf>
    <xf numFmtId="0" fontId="8" fillId="30" borderId="1" applyAlignment="1" pivotButton="0" quotePrefix="0" xfId="0">
      <alignment horizontal="left" vertical="center"/>
    </xf>
    <xf numFmtId="0" fontId="8" fillId="30" borderId="1" applyAlignment="1" pivotButton="0" quotePrefix="0" xfId="0">
      <alignment horizontal="center" vertical="center"/>
    </xf>
    <xf numFmtId="0" fontId="9" fillId="30" borderId="1" applyAlignment="1" pivotButton="0" quotePrefix="0" xfId="0">
      <alignment horizontal="left" vertical="center"/>
    </xf>
    <xf numFmtId="0" fontId="8" fillId="4" borderId="1" applyAlignment="1" pivotButton="0" quotePrefix="0" xfId="0">
      <alignment horizontal="left" vertical="center"/>
    </xf>
    <xf numFmtId="0" fontId="8" fillId="4" borderId="1" applyAlignment="1" pivotButton="0" quotePrefix="0" xfId="0">
      <alignment horizontal="center" vertical="center"/>
    </xf>
    <xf numFmtId="0" fontId="9" fillId="4" borderId="1" applyAlignment="1" pivotButton="0" quotePrefix="0" xfId="0">
      <alignment horizontal="left" vertical="center"/>
    </xf>
    <xf numFmtId="0" fontId="6" fillId="58" borderId="1" applyAlignment="1" pivotButton="0" quotePrefix="0" xfId="0">
      <alignment horizontal="center" vertical="center"/>
    </xf>
    <xf numFmtId="0" fontId="10" fillId="58" borderId="1" applyAlignment="1" pivotButton="0" quotePrefix="0" xfId="0">
      <alignment horizontal="left" vertical="center" wrapText="1"/>
    </xf>
    <xf numFmtId="0" fontId="15" fillId="67" borderId="1" applyAlignment="1" pivotButton="0" quotePrefix="0" xfId="0">
      <alignment horizontal="center" vertical="center"/>
    </xf>
    <xf numFmtId="0" fontId="6" fillId="67" borderId="1" applyAlignment="1" pivotButton="0" quotePrefix="0" xfId="0">
      <alignment horizontal="left" vertical="center"/>
    </xf>
    <xf numFmtId="0" fontId="9" fillId="68" borderId="1" applyAlignment="1" pivotButton="0" quotePrefix="0" xfId="0">
      <alignment horizontal="left" vertical="center" wrapText="1"/>
    </xf>
    <xf numFmtId="0" fontId="9" fillId="68" borderId="1" applyAlignment="1" pivotButton="0" quotePrefix="0" xfId="0">
      <alignment horizontal="left" vertical="center"/>
    </xf>
    <xf numFmtId="0" fontId="15" fillId="69" borderId="1" applyAlignment="1" pivotButton="0" quotePrefix="0" xfId="0">
      <alignment horizontal="center" vertical="center"/>
    </xf>
    <xf numFmtId="0" fontId="6" fillId="69" borderId="1" applyAlignment="1" pivotButton="0" quotePrefix="0" xfId="0">
      <alignment horizontal="left" vertical="center"/>
    </xf>
    <xf numFmtId="0" fontId="15" fillId="29" borderId="1" applyAlignment="1" pivotButton="0" quotePrefix="0" xfId="0">
      <alignment horizontal="center" vertical="center"/>
    </xf>
    <xf numFmtId="0" fontId="6" fillId="29" borderId="1" applyAlignment="1" pivotButton="0" quotePrefix="0" xfId="0">
      <alignment horizontal="left" vertical="center"/>
    </xf>
    <xf numFmtId="0" fontId="15" fillId="45" borderId="1" applyAlignment="1" pivotButton="0" quotePrefix="0" xfId="0">
      <alignment horizontal="center" vertical="center"/>
    </xf>
    <xf numFmtId="0" fontId="6" fillId="45" borderId="1" applyAlignment="1" pivotButton="0" quotePrefix="0" xfId="0">
      <alignment horizontal="left" vertical="center"/>
    </xf>
    <xf numFmtId="0" fontId="15" fillId="40" borderId="1" applyAlignment="1" pivotButton="0" quotePrefix="0" xfId="0">
      <alignment horizontal="center" vertical="center"/>
    </xf>
    <xf numFmtId="0" fontId="6" fillId="40" borderId="1" applyAlignment="1" pivotButton="0" quotePrefix="0" xfId="0">
      <alignment horizontal="left" vertical="center"/>
    </xf>
    <xf numFmtId="0" fontId="15" fillId="41" borderId="1" applyAlignment="1" pivotButton="0" quotePrefix="0" xfId="0">
      <alignment horizontal="center" vertical="center"/>
    </xf>
    <xf numFmtId="0" fontId="6" fillId="41" borderId="1" applyAlignment="1" pivotButton="0" quotePrefix="0" xfId="0">
      <alignment horizontal="left" vertical="center"/>
    </xf>
    <xf numFmtId="0" fontId="15" fillId="38" borderId="1" applyAlignment="1" pivotButton="0" quotePrefix="0" xfId="0">
      <alignment horizontal="center" vertical="center"/>
    </xf>
    <xf numFmtId="0" fontId="6" fillId="38" borderId="1" applyAlignment="1" pivotButton="0" quotePrefix="0" xfId="0">
      <alignment horizontal="left" vertical="center"/>
    </xf>
    <xf numFmtId="0" fontId="9" fillId="4" borderId="1" applyAlignment="1" pivotButton="0" quotePrefix="0" xfId="0">
      <alignment horizontal="center" vertical="center"/>
    </xf>
    <xf numFmtId="0" fontId="8" fillId="8" borderId="1" applyAlignment="1" pivotButton="0" quotePrefix="0" xfId="0">
      <alignment horizontal="center" vertical="center"/>
    </xf>
    <xf numFmtId="0" fontId="8" fillId="8" borderId="1" applyAlignment="1" pivotButton="0" quotePrefix="0" xfId="0">
      <alignment horizontal="left" vertical="center"/>
    </xf>
    <xf numFmtId="0" fontId="9" fillId="8" borderId="1" applyAlignment="1" pivotButton="0" quotePrefix="0" xfId="0">
      <alignment horizontal="left" vertical="center"/>
    </xf>
    <xf numFmtId="0" fontId="9" fillId="8" borderId="1" applyAlignment="1" pivotButton="0" quotePrefix="0" xfId="0">
      <alignment horizontal="center" vertical="center"/>
    </xf>
    <xf numFmtId="0" fontId="8" fillId="70" borderId="1" applyAlignment="1" pivotButton="0" quotePrefix="0" xfId="0">
      <alignment horizontal="left" vertical="center"/>
    </xf>
    <xf numFmtId="0" fontId="9" fillId="70" borderId="1" applyAlignment="1" pivotButton="0" quotePrefix="0" xfId="0">
      <alignment horizontal="left" vertical="center" wrapText="1"/>
    </xf>
    <xf numFmtId="0" fontId="9" fillId="70" borderId="1" applyAlignment="1" pivotButton="0" quotePrefix="0" xfId="0">
      <alignment horizontal="left" vertical="center"/>
    </xf>
    <xf numFmtId="0" fontId="8" fillId="10" borderId="1" applyAlignment="1" pivotButton="0" quotePrefix="0" xfId="0">
      <alignment horizontal="center" vertical="center"/>
    </xf>
    <xf numFmtId="0" fontId="9" fillId="10" borderId="1" applyAlignment="1" pivotButton="0" quotePrefix="0" xfId="0">
      <alignment horizontal="left"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15" fillId="71" borderId="1" applyAlignment="1" pivotButton="0" quotePrefix="0" xfId="0">
      <alignment horizontal="left" vertical="center"/>
    </xf>
    <xf numFmtId="0" fontId="9" fillId="71" borderId="1" applyAlignment="1" pivotButton="0" quotePrefix="0" xfId="0">
      <alignment horizontal="left" vertical="center"/>
    </xf>
    <xf numFmtId="0" fontId="10" fillId="72" borderId="1" applyAlignment="1" pivotButton="0" quotePrefix="0" xfId="0">
      <alignment horizontal="left" vertical="center" wrapText="1"/>
    </xf>
    <xf numFmtId="0" fontId="9" fillId="72" borderId="1" applyAlignment="1" pivotButton="0" quotePrefix="0" xfId="0">
      <alignment horizontal="left" vertical="center"/>
    </xf>
    <xf numFmtId="0" fontId="6" fillId="71" borderId="1" applyAlignment="1" pivotButton="0" quotePrefix="0" xfId="0">
      <alignment horizontal="left" vertical="center"/>
    </xf>
    <xf numFmtId="0" fontId="6" fillId="71" borderId="1" applyAlignment="1" pivotButton="0" quotePrefix="0" xfId="0">
      <alignment horizontal="center" vertical="center"/>
    </xf>
    <xf numFmtId="0" fontId="10" fillId="71" borderId="1" applyAlignment="1" pivotButton="0" quotePrefix="0" xfId="0">
      <alignment horizontal="left" vertical="center" wrapText="1"/>
    </xf>
    <xf numFmtId="0" fontId="8" fillId="3" borderId="1" applyAlignment="1" pivotButton="0" quotePrefix="0" xfId="0">
      <alignment horizontal="center" vertical="center"/>
    </xf>
    <xf numFmtId="0" fontId="8" fillId="3" borderId="1" applyAlignment="1" pivotButton="0" quotePrefix="0" xfId="0">
      <alignment horizontal="left" vertical="center"/>
    </xf>
    <xf numFmtId="0" fontId="9" fillId="3" borderId="1" applyAlignment="1" pivotButton="0" quotePrefix="0" xfId="0">
      <alignment horizontal="left" vertical="center"/>
    </xf>
    <xf numFmtId="0" fontId="9" fillId="3" borderId="1" applyAlignment="1" pivotButton="0" quotePrefix="0" xfId="0">
      <alignment horizontal="center" vertical="center"/>
    </xf>
    <xf numFmtId="0" fontId="8" fillId="6" borderId="1" applyAlignment="1" pivotButton="0" quotePrefix="0" xfId="0">
      <alignment horizontal="center" vertical="center"/>
    </xf>
    <xf numFmtId="0" fontId="9" fillId="6" borderId="1" applyAlignment="1" pivotButton="0" quotePrefix="0" xfId="0">
      <alignment horizontal="left" vertical="center"/>
    </xf>
    <xf numFmtId="0" fontId="8" fillId="6" borderId="1" applyAlignment="1" pivotButton="0" quotePrefix="0" xfId="0">
      <alignment horizontal="left" vertical="center"/>
    </xf>
    <xf numFmtId="0" fontId="9" fillId="6" borderId="1" applyAlignment="1" pivotButton="0" quotePrefix="0" xfId="0">
      <alignment horizontal="center" vertical="center"/>
    </xf>
    <xf numFmtId="0" fontId="8" fillId="22" borderId="1" applyAlignment="1" pivotButton="0" quotePrefix="0" xfId="0">
      <alignment horizontal="left" vertical="center"/>
    </xf>
    <xf numFmtId="0" fontId="9" fillId="22" borderId="1" applyAlignment="1" pivotButton="0" quotePrefix="0" xfId="0">
      <alignment horizontal="left" vertical="center"/>
    </xf>
    <xf numFmtId="0" fontId="15" fillId="73" borderId="1" applyAlignment="1" pivotButton="0" quotePrefix="0" xfId="0">
      <alignment horizontal="left" vertical="center"/>
    </xf>
    <xf numFmtId="0" fontId="9" fillId="73" borderId="1" applyAlignment="1" pivotButton="0" quotePrefix="0" xfId="0">
      <alignment horizontal="left" vertical="center"/>
    </xf>
    <xf numFmtId="0" fontId="10" fillId="74" borderId="1" applyAlignment="1" pivotButton="0" quotePrefix="0" xfId="0">
      <alignment horizontal="left" vertical="center" wrapText="1"/>
    </xf>
    <xf numFmtId="0" fontId="9" fillId="74" borderId="1" applyAlignment="1" pivotButton="0" quotePrefix="0" xfId="0">
      <alignment horizontal="left" vertical="center"/>
    </xf>
    <xf numFmtId="0" fontId="6" fillId="73" borderId="1" applyAlignment="1" pivotButton="0" quotePrefix="0" xfId="0">
      <alignment horizontal="left" vertical="center"/>
    </xf>
    <xf numFmtId="0" fontId="6" fillId="73" borderId="1" applyAlignment="1" pivotButton="0" quotePrefix="0" xfId="0">
      <alignment horizontal="center" vertical="center"/>
    </xf>
    <xf numFmtId="0" fontId="10" fillId="73" borderId="1" applyAlignment="1" pivotButton="0" quotePrefix="0" xfId="0">
      <alignment horizontal="left" vertical="center" wrapText="1"/>
    </xf>
    <xf numFmtId="0" fontId="8" fillId="7" borderId="1" applyAlignment="1" pivotButton="0" quotePrefix="0" xfId="0">
      <alignment horizontal="center" vertical="center"/>
    </xf>
    <xf numFmtId="0" fontId="8" fillId="7" borderId="1" applyAlignment="1" pivotButton="0" quotePrefix="0" xfId="0">
      <alignment horizontal="left" vertical="center"/>
    </xf>
    <xf numFmtId="0" fontId="9" fillId="7" borderId="1" applyAlignment="1" pivotButton="0" quotePrefix="0" xfId="0">
      <alignment horizontal="left" vertical="center"/>
    </xf>
    <xf numFmtId="0" fontId="9" fillId="7" borderId="1" applyAlignment="1" pivotButton="0" quotePrefix="0" xfId="0">
      <alignment horizontal="center" vertical="center"/>
    </xf>
    <xf numFmtId="0" fontId="8" fillId="75" borderId="1" applyAlignment="1" pivotButton="0" quotePrefix="0" xfId="0">
      <alignment horizontal="left" vertical="center"/>
    </xf>
    <xf numFmtId="0" fontId="9" fillId="75" borderId="1" applyAlignment="1" pivotButton="0" quotePrefix="0" xfId="0">
      <alignment horizontal="left" vertical="center" wrapText="1"/>
    </xf>
    <xf numFmtId="0" fontId="9" fillId="75" borderId="1" applyAlignment="1" pivotButton="0" quotePrefix="0" xfId="0">
      <alignment horizontal="left" vertical="center"/>
    </xf>
    <xf numFmtId="0" fontId="15" fillId="59" borderId="1" applyAlignment="1" pivotButton="0" quotePrefix="0" xfId="0">
      <alignment horizontal="left" vertical="center"/>
    </xf>
    <xf numFmtId="0" fontId="9" fillId="59" borderId="1" applyAlignment="1" pivotButton="0" quotePrefix="0" xfId="0">
      <alignment horizontal="left" vertical="center"/>
    </xf>
    <xf numFmtId="0" fontId="9" fillId="25" borderId="1" applyAlignment="1" pivotButton="0" quotePrefix="0" xfId="0">
      <alignment horizontal="left" vertical="center"/>
    </xf>
    <xf numFmtId="0" fontId="6" fillId="59" borderId="1" applyAlignment="1" pivotButton="0" quotePrefix="0" xfId="0">
      <alignment horizontal="left" vertical="center"/>
    </xf>
    <xf numFmtId="0" fontId="6" fillId="59" borderId="1" applyAlignment="1" pivotButton="0" quotePrefix="0" xfId="0">
      <alignment horizontal="center" vertical="center"/>
    </xf>
    <xf numFmtId="0" fontId="8" fillId="61" borderId="1" applyAlignment="1" pivotButton="0" quotePrefix="0" xfId="0">
      <alignment horizontal="left" vertical="center"/>
    </xf>
    <xf numFmtId="0" fontId="9" fillId="61" borderId="1" applyAlignment="1" pivotButton="0" quotePrefix="0" xfId="0">
      <alignment horizontal="left" vertical="center"/>
    </xf>
    <xf numFmtId="0" fontId="4" fillId="2" borderId="1" applyAlignment="1" pivotButton="0" quotePrefix="0" xfId="0">
      <alignment horizontal="left" vertical="center"/>
    </xf>
    <xf numFmtId="0" fontId="9" fillId="2" borderId="1" applyAlignment="1" pivotButton="0" quotePrefix="0" xfId="0">
      <alignment horizontal="left" vertical="center"/>
    </xf>
    <xf numFmtId="0" fontId="10" fillId="76" borderId="1" applyAlignment="1" pivotButton="0" quotePrefix="0" xfId="0">
      <alignment horizontal="left" vertical="center" wrapText="1"/>
    </xf>
    <xf numFmtId="0" fontId="9" fillId="76" borderId="1" applyAlignment="1" pivotButton="0" quotePrefix="0" xfId="0">
      <alignment horizontal="left" vertical="center"/>
    </xf>
    <xf numFmtId="0" fontId="9" fillId="77" borderId="1" applyAlignment="1" pivotButton="0" quotePrefix="0" xfId="0">
      <alignment horizontal="left" vertical="center"/>
    </xf>
    <xf numFmtId="0" fontId="1" fillId="77" borderId="1" applyAlignment="1" pivotButton="0" quotePrefix="0" xfId="0">
      <alignment horizontal="left" vertical="center"/>
    </xf>
    <xf numFmtId="0" fontId="1" fillId="57" borderId="1" applyAlignment="1" pivotButton="0" quotePrefix="0" xfId="0">
      <alignment horizontal="center" vertical="center"/>
    </xf>
    <xf numFmtId="0" fontId="1" fillId="71" borderId="1" applyAlignment="1" pivotButton="0" quotePrefix="0" xfId="0">
      <alignment horizontal="center" vertical="center"/>
    </xf>
    <xf numFmtId="0" fontId="1" fillId="73" borderId="1" applyAlignment="1" pivotButton="0" quotePrefix="0" xfId="0">
      <alignment horizontal="center" vertical="center"/>
    </xf>
    <xf numFmtId="0" fontId="1" fillId="59" borderId="1" applyAlignment="1" pivotButton="0" quotePrefix="0" xfId="0">
      <alignment horizontal="center" vertical="center"/>
    </xf>
    <xf numFmtId="0" fontId="1" fillId="36" borderId="1" applyAlignment="1" pivotButton="0" quotePrefix="0" xfId="0">
      <alignment horizontal="center" vertical="center"/>
    </xf>
    <xf numFmtId="0" fontId="6" fillId="77" borderId="1" applyAlignment="1" pivotButton="0" quotePrefix="0" xfId="0">
      <alignment horizontal="left" vertical="center"/>
    </xf>
    <xf numFmtId="0" fontId="8" fillId="24" borderId="1" applyAlignment="1" pivotButton="0" quotePrefix="0" xfId="0">
      <alignment horizontal="left" vertical="center"/>
    </xf>
    <xf numFmtId="0" fontId="9" fillId="78" borderId="1" applyAlignment="1" pivotButton="0" quotePrefix="0" xfId="0">
      <alignment horizontal="center" vertical="center"/>
    </xf>
    <xf numFmtId="0" fontId="16" fillId="79" borderId="1" applyAlignment="1" pivotButton="0" quotePrefix="0" xfId="0">
      <alignment horizontal="left" vertical="center"/>
    </xf>
    <xf numFmtId="0" fontId="17" fillId="21" borderId="1" applyAlignment="1" pivotButton="0" quotePrefix="0" xfId="0">
      <alignment horizontal="left" vertical="center" wrapText="1"/>
    </xf>
    <xf numFmtId="0" fontId="9" fillId="21" borderId="1" applyAlignment="1" pivotButton="0" quotePrefix="0" xfId="0">
      <alignment horizontal="left" vertical="center"/>
    </xf>
    <xf numFmtId="0" fontId="6" fillId="60" borderId="1" applyAlignment="1" pivotButton="0" quotePrefix="0" xfId="0">
      <alignment horizontal="left" vertical="center"/>
    </xf>
    <xf numFmtId="0" fontId="6" fillId="57" borderId="1" applyAlignment="1" pivotButton="0" quotePrefix="0" xfId="0">
      <alignment horizontal="center" vertical="center"/>
    </xf>
    <xf numFmtId="0" fontId="6" fillId="71" borderId="1" applyAlignment="1" pivotButton="0" quotePrefix="0" xfId="0">
      <alignment horizontal="center" vertical="center"/>
    </xf>
    <xf numFmtId="0" fontId="6" fillId="73" borderId="1" applyAlignment="1" pivotButton="0" quotePrefix="0" xfId="0">
      <alignment horizontal="center" vertical="center"/>
    </xf>
    <xf numFmtId="0" fontId="6" fillId="59" borderId="1" applyAlignment="1" pivotButton="0" quotePrefix="0" xfId="0">
      <alignment horizontal="center" vertical="center"/>
    </xf>
    <xf numFmtId="0" fontId="9" fillId="60" borderId="1" applyAlignment="1" pivotButton="0" quotePrefix="0" xfId="0">
      <alignment horizontal="left" vertical="center"/>
    </xf>
    <xf numFmtId="0" fontId="8" fillId="10" borderId="1" applyAlignment="1" pivotButton="0" quotePrefix="0" xfId="0">
      <alignment horizontal="left" vertical="center"/>
    </xf>
    <xf numFmtId="9" fontId="8" fillId="27" borderId="1" applyAlignment="1" pivotButton="0" quotePrefix="0" xfId="0">
      <alignment horizontal="center" vertical="center"/>
    </xf>
    <xf numFmtId="0" fontId="9" fillId="10" borderId="1" applyAlignment="1" pivotButton="0" quotePrefix="0" xfId="0">
      <alignment horizontal="left" vertical="center"/>
    </xf>
    <xf numFmtId="0" fontId="18" fillId="9" borderId="1" applyAlignment="1" pivotButton="0" quotePrefix="0" xfId="0">
      <alignment horizontal="center" vertical="center"/>
    </xf>
    <xf numFmtId="0" fontId="6" fillId="80" borderId="1" applyAlignment="1" pivotButton="0" quotePrefix="0" xfId="0">
      <alignment horizontal="left" vertical="center"/>
    </xf>
    <xf numFmtId="9" fontId="1" fillId="80" borderId="1" applyAlignment="1" pivotButton="0" quotePrefix="0" xfId="0">
      <alignment horizontal="center" vertical="center"/>
    </xf>
    <xf numFmtId="0" fontId="9" fillId="80" borderId="1" applyAlignment="1" pivotButton="0" quotePrefix="0" xfId="0">
      <alignment horizontal="left" vertical="center"/>
    </xf>
    <xf numFmtId="9" fontId="1" fillId="60" borderId="1" applyAlignment="1" pivotButton="0" quotePrefix="0" xfId="0">
      <alignment horizontal="center" vertical="center"/>
    </xf>
    <xf numFmtId="0" fontId="8" fillId="81" borderId="1" applyAlignment="1" pivotButton="0" quotePrefix="0" xfId="0">
      <alignment horizontal="left" vertical="center"/>
    </xf>
    <xf numFmtId="9" fontId="2" fillId="81" borderId="1" applyAlignment="1" pivotButton="0" quotePrefix="0" xfId="0">
      <alignment horizontal="center" vertical="center"/>
    </xf>
    <xf numFmtId="0" fontId="9" fillId="81" borderId="1" applyAlignment="1" pivotButton="0" quotePrefix="0" xfId="0">
      <alignment horizontal="left" vertical="center"/>
    </xf>
    <xf numFmtId="0" fontId="9" fillId="81" borderId="1" applyAlignment="1" pivotButton="0" quotePrefix="0" xfId="0">
      <alignment horizontal="left" vertical="center" wrapText="1"/>
    </xf>
    <xf numFmtId="0" fontId="6" fillId="41" borderId="1" applyAlignment="1" pivotButton="0" quotePrefix="0" xfId="0">
      <alignment horizontal="left" vertical="center"/>
    </xf>
    <xf numFmtId="9" fontId="1" fillId="41" borderId="1" applyAlignment="1" pivotButton="0" quotePrefix="0" xfId="0">
      <alignment horizontal="center" vertical="center"/>
    </xf>
    <xf numFmtId="0" fontId="9" fillId="41" borderId="1" applyAlignment="1" pivotButton="0" quotePrefix="0" xfId="0">
      <alignment horizontal="left" vertical="center"/>
    </xf>
    <xf numFmtId="0" fontId="6" fillId="60" borderId="1" applyAlignment="1" pivotButton="0" quotePrefix="0" xfId="0">
      <alignment horizontal="center" vertical="center"/>
    </xf>
    <xf numFmtId="0" fontId="3" fillId="10" borderId="1" applyAlignment="1" pivotButton="0" quotePrefix="0" xfId="0">
      <alignment horizontal="center" vertical="center"/>
    </xf>
    <xf numFmtId="0" fontId="8" fillId="82" borderId="1" applyAlignment="1" pivotButton="0" quotePrefix="0" xfId="0">
      <alignment horizontal="left" vertical="center"/>
    </xf>
    <xf numFmtId="0" fontId="9" fillId="82" borderId="1" applyAlignment="1" pivotButton="0" quotePrefix="0" xfId="0">
      <alignment horizontal="left" vertical="center" wrapText="1"/>
    </xf>
    <xf numFmtId="0" fontId="9" fillId="82" borderId="1" applyAlignment="1" pivotButton="0" quotePrefix="0" xfId="0">
      <alignment horizontal="left" vertical="center"/>
    </xf>
    <xf numFmtId="0" fontId="9" fillId="68" borderId="1" applyAlignment="1" pivotButton="0" quotePrefix="0" xfId="0">
      <alignment horizontal="left" vertical="center"/>
    </xf>
    <xf numFmtId="0" fontId="1" fillId="77" borderId="1" applyAlignment="1" pivotButton="0" quotePrefix="0" xfId="0">
      <alignment horizontal="left" vertical="center"/>
    </xf>
    <xf numFmtId="0" fontId="9" fillId="77" borderId="1" applyAlignment="1" pivotButton="0" quotePrefix="0" xfId="0">
      <alignment horizontal="left" vertical="center"/>
    </xf>
    <xf numFmtId="0" fontId="6" fillId="77" borderId="1" applyAlignment="1" pivotButton="0" quotePrefix="0" xfId="0">
      <alignment horizontal="center" vertical="center"/>
    </xf>
    <xf numFmtId="0" fontId="19" fillId="83" borderId="1" applyAlignment="1" pivotButton="0" quotePrefix="0" xfId="0">
      <alignment horizontal="left" vertical="center" wrapText="1"/>
    </xf>
    <xf numFmtId="0" fontId="9" fillId="83" borderId="1" applyAlignment="1" pivotButton="0" quotePrefix="0" xfId="0">
      <alignment horizontal="left" vertical="center"/>
    </xf>
    <xf numFmtId="0" fontId="6" fillId="2" borderId="1" applyAlignment="1" pivotButton="0" quotePrefix="0" xfId="0">
      <alignment horizontal="center" vertical="center"/>
    </xf>
    <xf numFmtId="0" fontId="8" fillId="8" borderId="1" applyAlignment="1" pivotButton="0" quotePrefix="0" xfId="0">
      <alignment horizontal="left" vertical="center"/>
    </xf>
    <xf numFmtId="0" fontId="8" fillId="84" borderId="1" applyAlignment="1" pivotButton="0" quotePrefix="0" xfId="0">
      <alignment horizontal="center" vertical="center"/>
    </xf>
    <xf numFmtId="0" fontId="9" fillId="8" borderId="1" applyAlignment="1" pivotButton="0" quotePrefix="0" xfId="0">
      <alignment horizontal="center" vertical="center"/>
    </xf>
    <xf numFmtId="0" fontId="8" fillId="8" borderId="1" applyAlignment="1" pivotButton="0" quotePrefix="0" xfId="0">
      <alignment horizontal="center" vertical="center"/>
    </xf>
    <xf numFmtId="0" fontId="9" fillId="8" borderId="1" applyAlignment="1" pivotButton="0" quotePrefix="0" xfId="0">
      <alignment horizontal="center" vertical="center" wrapText="1"/>
    </xf>
    <xf numFmtId="0" fontId="8" fillId="21" borderId="1" applyAlignment="1" pivotButton="0" quotePrefix="0" xfId="0">
      <alignment horizontal="left" vertical="center"/>
    </xf>
    <xf numFmtId="0" fontId="8" fillId="85" borderId="1" applyAlignment="1" pivotButton="0" quotePrefix="0" xfId="0">
      <alignment horizontal="center" vertical="center"/>
    </xf>
    <xf numFmtId="0" fontId="9" fillId="21" borderId="1" applyAlignment="1" pivotButton="0" quotePrefix="0" xfId="0">
      <alignment horizontal="center" vertical="center"/>
    </xf>
    <xf numFmtId="0" fontId="8" fillId="21" borderId="1" applyAlignment="1" pivotButton="0" quotePrefix="0" xfId="0">
      <alignment horizontal="center" vertical="center"/>
    </xf>
    <xf numFmtId="0" fontId="9" fillId="21" borderId="1" applyAlignment="1" pivotButton="0" quotePrefix="0" xfId="0">
      <alignment horizontal="center" vertical="center" wrapText="1"/>
    </xf>
    <xf numFmtId="0" fontId="6" fillId="2" borderId="1" applyAlignment="1" pivotButton="0" quotePrefix="0" xfId="0">
      <alignment horizontal="left" vertical="center"/>
    </xf>
    <xf numFmtId="0" fontId="9" fillId="2" borderId="1" applyAlignment="1" pivotButton="0" quotePrefix="0" xfId="0">
      <alignment horizontal="left" vertical="center"/>
    </xf>
    <xf numFmtId="0" fontId="6" fillId="60" borderId="1" applyAlignment="1" pivotButton="0" quotePrefix="0" xfId="0">
      <alignment horizontal="center" vertical="center"/>
    </xf>
    <xf numFmtId="0" fontId="8" fillId="24" borderId="1" applyAlignment="1" pivotButton="0" quotePrefix="0" xfId="0">
      <alignment horizontal="left" vertical="center"/>
    </xf>
    <xf numFmtId="0" fontId="9" fillId="78" borderId="1" applyAlignment="1" pivotButton="0" quotePrefix="0" xfId="0">
      <alignment horizontal="center" vertical="center"/>
    </xf>
    <xf numFmtId="0" fontId="6" fillId="57" borderId="1" applyAlignment="1" pivotButton="0" quotePrefix="0" xfId="0">
      <alignment horizontal="center" vertical="center"/>
    </xf>
    <xf numFmtId="0" fontId="6" fillId="71" borderId="1" applyAlignment="1" pivotButton="0" quotePrefix="0" xfId="0">
      <alignment horizontal="center" vertical="center"/>
    </xf>
    <xf numFmtId="0" fontId="6" fillId="73" borderId="1" applyAlignment="1" pivotButton="0" quotePrefix="0" xfId="0">
      <alignment horizontal="center" vertical="center"/>
    </xf>
    <xf numFmtId="0" fontId="6" fillId="59" borderId="1" applyAlignment="1" pivotButton="0" quotePrefix="0" xfId="0">
      <alignment horizontal="center" vertical="center"/>
    </xf>
    <xf numFmtId="0" fontId="8" fillId="68" borderId="1" applyAlignment="1" pivotButton="0" quotePrefix="0" xfId="0">
      <alignment horizontal="left" vertical="center"/>
    </xf>
    <xf numFmtId="9" fontId="5" fillId="27" borderId="1" applyAlignment="1" pivotButton="0" quotePrefix="0" xfId="0">
      <alignment horizontal="center" vertical="center"/>
    </xf>
    <xf numFmtId="0" fontId="9" fillId="68" borderId="1" applyAlignment="1" pivotButton="0" quotePrefix="0" xfId="0">
      <alignment horizontal="left" vertical="center"/>
    </xf>
    <xf numFmtId="0" fontId="6" fillId="80" borderId="1" applyAlignment="1" pivotButton="0" quotePrefix="0" xfId="0">
      <alignment horizontal="left" vertical="center"/>
    </xf>
    <xf numFmtId="0" fontId="9" fillId="80" borderId="1" applyAlignment="1" pivotButton="0" quotePrefix="0" xfId="0">
      <alignment horizontal="left" vertical="center"/>
    </xf>
    <xf numFmtId="0" fontId="8" fillId="82" borderId="1" applyAlignment="1" pivotButton="0" quotePrefix="0" xfId="0">
      <alignment horizontal="left" vertical="center"/>
    </xf>
    <xf numFmtId="0" fontId="9" fillId="82" borderId="1" applyAlignment="1" pivotButton="0" quotePrefix="0" xfId="0">
      <alignment horizontal="left" vertical="center"/>
    </xf>
    <xf numFmtId="0" fontId="15" fillId="2" borderId="1" applyAlignment="1" pivotButton="0" quotePrefix="0" xfId="0">
      <alignment horizontal="left" vertical="center"/>
    </xf>
    <xf numFmtId="0" fontId="9" fillId="2" borderId="1" applyAlignment="1" pivotButton="0" quotePrefix="0" xfId="0">
      <alignment horizontal="left" vertical="center"/>
    </xf>
    <xf numFmtId="0" fontId="20" fillId="76" borderId="1" applyAlignment="1" pivotButton="0" quotePrefix="0" xfId="0">
      <alignment horizontal="left" vertical="center" wrapText="1"/>
    </xf>
    <xf numFmtId="0" fontId="9" fillId="76" borderId="1" applyAlignment="1" pivotButton="0" quotePrefix="0" xfId="0">
      <alignment horizontal="left" vertical="center"/>
    </xf>
    <xf numFmtId="0" fontId="6" fillId="60" borderId="1" applyAlignment="1" pivotButton="0" quotePrefix="0" xfId="0">
      <alignment horizontal="left" vertical="center"/>
    </xf>
    <xf numFmtId="0" fontId="8" fillId="4" borderId="1" applyAlignment="1" pivotButton="0" quotePrefix="0" xfId="0">
      <alignment horizontal="center" vertical="center"/>
    </xf>
    <xf numFmtId="0" fontId="8" fillId="8" borderId="1" applyAlignment="1" pivotButton="0" quotePrefix="0" xfId="0">
      <alignment horizontal="center" vertical="center"/>
    </xf>
    <xf numFmtId="0" fontId="8" fillId="30" borderId="1" applyAlignment="1" pivotButton="0" quotePrefix="0" xfId="0">
      <alignment horizontal="center" vertical="center"/>
    </xf>
    <xf numFmtId="0" fontId="9" fillId="60" borderId="1" applyAlignment="1" pivotButton="0" quotePrefix="0" xfId="0">
      <alignment horizontal="left" vertical="center"/>
    </xf>
    <xf numFmtId="0" fontId="8" fillId="10" borderId="1" applyAlignment="1" pivotButton="0" quotePrefix="0" xfId="0">
      <alignment horizontal="left" vertical="center"/>
    </xf>
    <xf numFmtId="0" fontId="9" fillId="10" borderId="1" applyAlignment="1" pivotButton="0" quotePrefix="0" xfId="0">
      <alignment horizontal="left" vertical="center"/>
    </xf>
    <xf numFmtId="0" fontId="1" fillId="77" borderId="1" applyAlignment="1" pivotButton="0" quotePrefix="0" xfId="0">
      <alignment horizontal="left" vertical="center"/>
    </xf>
    <xf numFmtId="0" fontId="9" fillId="77" borderId="1" applyAlignment="1" pivotButton="0" quotePrefix="0" xfId="0">
      <alignment horizontal="left" vertical="center"/>
    </xf>
    <xf numFmtId="0" fontId="6" fillId="80" borderId="1" applyAlignment="1" pivotButton="0" quotePrefix="0" xfId="0">
      <alignment horizontal="left" vertical="center"/>
    </xf>
    <xf numFmtId="0" fontId="6" fillId="57" borderId="1" applyAlignment="1" pivotButton="0" quotePrefix="0" xfId="0">
      <alignment horizontal="center" vertical="center"/>
    </xf>
    <xf numFmtId="0" fontId="6" fillId="71" borderId="1" applyAlignment="1" pivotButton="0" quotePrefix="0" xfId="0">
      <alignment horizontal="center" vertical="center"/>
    </xf>
    <xf numFmtId="0" fontId="6" fillId="73" borderId="1" applyAlignment="1" pivotButton="0" quotePrefix="0" xfId="0">
      <alignment horizontal="center" vertical="center"/>
    </xf>
    <xf numFmtId="0" fontId="6" fillId="59" borderId="1" applyAlignment="1" pivotButton="0" quotePrefix="0" xfId="0">
      <alignment horizontal="center" vertical="center"/>
    </xf>
    <xf numFmtId="0" fontId="6" fillId="36" borderId="1" applyAlignment="1" pivotButton="0" quotePrefix="0" xfId="0">
      <alignment horizontal="center" vertical="center"/>
    </xf>
    <xf numFmtId="0" fontId="9" fillId="80" borderId="1" applyAlignment="1" pivotButton="0" quotePrefix="0" xfId="0">
      <alignment horizontal="left" vertical="center"/>
    </xf>
    <xf numFmtId="0" fontId="18" fillId="9" borderId="1" applyAlignment="1" pivotButton="0" quotePrefix="0" xfId="0">
      <alignment horizontal="center" vertical="center"/>
    </xf>
    <xf numFmtId="0" fontId="17" fillId="86" borderId="1" applyAlignment="1" pivotButton="0" quotePrefix="0" xfId="0">
      <alignment horizontal="center" vertical="center"/>
    </xf>
    <xf numFmtId="0" fontId="6" fillId="80" borderId="1" applyAlignment="1" pivotButton="0" quotePrefix="0" xfId="0">
      <alignment horizontal="center" vertical="center"/>
    </xf>
    <xf numFmtId="0" fontId="21" fillId="80" borderId="1" applyAlignment="1" pivotButton="0" quotePrefix="0" xfId="0">
      <alignment horizontal="center" vertical="center"/>
    </xf>
    <xf numFmtId="0" fontId="6" fillId="60" borderId="1" applyAlignment="1" pivotButton="0" quotePrefix="0" xfId="0">
      <alignment horizontal="center" vertical="center"/>
    </xf>
    <xf numFmtId="0" fontId="8" fillId="82" borderId="1" applyAlignment="1" pivotButton="0" quotePrefix="0" xfId="0">
      <alignment horizontal="left" vertical="center"/>
    </xf>
    <xf numFmtId="0" fontId="9" fillId="82"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93"/>
  <sheetViews>
    <sheetView workbookViewId="0">
      <pane ySplit="1" topLeftCell="A2" activePane="bottomLeft" state="frozen"/>
      <selection pane="bottomLeft" activeCell="A1" sqref="A1"/>
    </sheetView>
  </sheetViews>
  <sheetFormatPr baseColWidth="8" defaultRowHeight="15"/>
  <cols>
    <col width="10" customWidth="1" min="1" max="1"/>
    <col width="5" customWidth="1" min="2" max="2"/>
    <col width="30" customWidth="1" min="3" max="3"/>
    <col width="14" customWidth="1" min="4" max="4"/>
    <col width="16" customWidth="1" min="5" max="5"/>
    <col width="5" customWidth="1" min="6" max="6"/>
    <col width="6" customWidth="1" min="7" max="7"/>
    <col width="11" customWidth="1" min="8" max="8"/>
    <col width="18" customWidth="1" min="9" max="9"/>
    <col width="65" customWidth="1" min="10" max="10"/>
    <col width="30" customWidth="1" min="11" max="11"/>
  </cols>
  <sheetData>
    <row r="1" ht="18" customHeight="1">
      <c r="A1" s="1" t="inlineStr">
        <is>
          <t>Card ID</t>
        </is>
      </c>
      <c r="B1" s="1" t="inlineStr">
        <is>
          <t>Qty</t>
        </is>
      </c>
      <c r="C1" s="1" t="inlineStr">
        <is>
          <t>Name</t>
        </is>
      </c>
      <c r="D1" s="1" t="inlineStr">
        <is>
          <t>Domain</t>
        </is>
      </c>
      <c r="E1" s="1" t="inlineStr">
        <is>
          <t>Type</t>
        </is>
      </c>
      <c r="F1" s="1" t="inlineStr">
        <is>
          <t>Cost</t>
        </is>
      </c>
      <c r="G1" s="1" t="inlineStr">
        <is>
          <t>Might</t>
        </is>
      </c>
      <c r="H1" s="1" t="inlineStr">
        <is>
          <t>Rarity</t>
        </is>
      </c>
      <c r="I1" s="1" t="inlineStr">
        <is>
          <t>Tags</t>
        </is>
      </c>
      <c r="J1" s="1" t="inlineStr">
        <is>
          <t>Ability</t>
        </is>
      </c>
      <c r="K1" s="601" t="inlineStr">
        <is>
          <t>Deck</t>
        </is>
      </c>
    </row>
    <row r="2" ht="15" customHeight="1">
      <c r="A2" s="57" t="inlineStr">
        <is>
          <t>OGN-001</t>
        </is>
      </c>
      <c r="B2" s="57" t="n">
        <v>3</v>
      </c>
      <c r="C2" s="57" t="inlineStr">
        <is>
          <t>Blazing Scorcher</t>
        </is>
      </c>
      <c r="D2" s="57" t="inlineStr">
        <is>
          <t>Fury</t>
        </is>
      </c>
      <c r="E2" s="57" t="inlineStr">
        <is>
          <t>Unit</t>
        </is>
      </c>
      <c r="F2" s="57" t="inlineStr">
        <is>
          <t>5</t>
        </is>
      </c>
      <c r="G2" s="57" t="inlineStr">
        <is>
          <t>5</t>
        </is>
      </c>
      <c r="H2" s="57" t="inlineStr">
        <is>
          <t>Common</t>
        </is>
      </c>
      <c r="I2" s="57" t="inlineStr">
        <is>
          <t>Noxus;Dragon</t>
        </is>
      </c>
      <c r="J2" s="3" t="inlineStr">
        <is>
          <t>ACCELERATE (You may pay 1 Fury as an additional cost to have me enter ready.)</t>
        </is>
      </c>
      <c r="K2" s="428" t="inlineStr">
        <is>
          <t>Voli(3)</t>
        </is>
      </c>
    </row>
    <row r="3" ht="15" customHeight="1">
      <c r="A3" s="57" t="inlineStr">
        <is>
          <t>OGN-002</t>
        </is>
      </c>
      <c r="B3" s="57" t="n">
        <v>3</v>
      </c>
      <c r="C3" s="57" t="inlineStr">
        <is>
          <t>Brazen Buccaneer</t>
        </is>
      </c>
      <c r="D3" s="57" t="inlineStr">
        <is>
          <t>Fury</t>
        </is>
      </c>
      <c r="E3" s="57" t="inlineStr">
        <is>
          <t>Unit</t>
        </is>
      </c>
      <c r="F3" s="57" t="inlineStr">
        <is>
          <t>6</t>
        </is>
      </c>
      <c r="G3" s="57" t="inlineStr">
        <is>
          <t>5</t>
        </is>
      </c>
      <c r="H3" s="57" t="inlineStr">
        <is>
          <t>Common</t>
        </is>
      </c>
      <c r="I3" s="57" t="inlineStr">
        <is>
          <t>Bilgewater;Pirate</t>
        </is>
      </c>
      <c r="J3" s="3" t="inlineStr">
        <is>
          <t>As you play me, you may discard a card as an additional cost. If you do, reduce my cost by 2.</t>
        </is>
      </c>
      <c r="K3" s="428" t="inlineStr">
        <is>
          <t>Draven SB(1)</t>
        </is>
      </c>
    </row>
    <row r="4" ht="15" customHeight="1">
      <c r="A4" s="57" t="inlineStr">
        <is>
          <t>OGN-003</t>
        </is>
      </c>
      <c r="B4" s="57" t="n">
        <v>3</v>
      </c>
      <c r="C4" s="57" t="inlineStr">
        <is>
          <t>Chemtech Enforcer</t>
        </is>
      </c>
      <c r="D4" s="57" t="inlineStr">
        <is>
          <t>Fury</t>
        </is>
      </c>
      <c r="E4" s="57" t="inlineStr">
        <is>
          <t>Unit</t>
        </is>
      </c>
      <c r="F4" s="57" t="inlineStr">
        <is>
          <t>2</t>
        </is>
      </c>
      <c r="G4" s="57" t="inlineStr">
        <is>
          <t>2</t>
        </is>
      </c>
      <c r="H4" s="57" t="inlineStr">
        <is>
          <t>Common</t>
        </is>
      </c>
      <c r="I4" s="57" t="inlineStr">
        <is>
          <t>Zaun</t>
        </is>
      </c>
      <c r="J4" s="3" t="inlineStr">
        <is>
          <t>ASSAULT (+2 Might while I'm an attacker.)
When you play me, discard 1.</t>
        </is>
      </c>
      <c r="K4" s="428" t="inlineStr">
        <is>
          <t>Draven(3)</t>
        </is>
      </c>
    </row>
    <row r="5" ht="15" customHeight="1">
      <c r="A5" s="57" t="inlineStr">
        <is>
          <t>OGN-006</t>
        </is>
      </c>
      <c r="B5" s="57" t="n">
        <v>3</v>
      </c>
      <c r="C5" s="57" t="inlineStr">
        <is>
          <t>Flame Chompers</t>
        </is>
      </c>
      <c r="D5" s="57" t="inlineStr">
        <is>
          <t>Fury</t>
        </is>
      </c>
      <c r="E5" s="57" t="inlineStr">
        <is>
          <t>Unit</t>
        </is>
      </c>
      <c r="F5" s="57" t="inlineStr">
        <is>
          <t>3</t>
        </is>
      </c>
      <c r="G5" s="57" t="inlineStr">
        <is>
          <t>3</t>
        </is>
      </c>
      <c r="H5" s="57" t="inlineStr">
        <is>
          <t>Common</t>
        </is>
      </c>
      <c r="I5" s="57" t="inlineStr">
        <is>
          <t>Zaun</t>
        </is>
      </c>
      <c r="J5" s="3" t="inlineStr">
        <is>
          <t>When you discard me, you may pay 1 Fury to play me.</t>
        </is>
      </c>
      <c r="K5" s="428" t="inlineStr">
        <is>
          <t>Draven(3)</t>
        </is>
      </c>
    </row>
    <row r="6" ht="15" customHeight="1">
      <c r="A6" s="57" t="inlineStr">
        <is>
          <t>OGN-008</t>
        </is>
      </c>
      <c r="B6" s="57" t="n">
        <v>2</v>
      </c>
      <c r="C6" s="57" t="inlineStr">
        <is>
          <t>Get Excited!</t>
        </is>
      </c>
      <c r="D6" s="57" t="inlineStr">
        <is>
          <t>Fury</t>
        </is>
      </c>
      <c r="E6" s="57" t="inlineStr">
        <is>
          <t>Spell</t>
        </is>
      </c>
      <c r="F6" s="57" t="inlineStr">
        <is>
          <t>2</t>
        </is>
      </c>
      <c r="G6" s="57" t="inlineStr">
        <is>
          <t>0</t>
        </is>
      </c>
      <c r="H6" s="57" t="inlineStr">
        <is>
          <t>Common</t>
        </is>
      </c>
      <c r="I6" s="57" t="inlineStr"/>
      <c r="J6" s="3" t="inlineStr">
        <is>
          <t>ACTION (Play on your turn or in showdowns.)
Discard 1. Deal its Energy cost as damage to a unit at a battlefield. (Ignore its Power cost.)</t>
        </is>
      </c>
      <c r="K6" s="428" t="inlineStr">
        <is>
          <t>Draven(2)</t>
        </is>
      </c>
    </row>
    <row r="7" ht="15" customHeight="1">
      <c r="A7" s="57" t="inlineStr">
        <is>
          <t>OGN-010</t>
        </is>
      </c>
      <c r="B7" s="57" t="n">
        <v>1</v>
      </c>
      <c r="C7" s="57" t="inlineStr">
        <is>
          <t>Legion Rearguard</t>
        </is>
      </c>
      <c r="D7" s="57" t="inlineStr">
        <is>
          <t>Fury</t>
        </is>
      </c>
      <c r="E7" s="57" t="inlineStr">
        <is>
          <t>Unit</t>
        </is>
      </c>
      <c r="F7" s="57" t="inlineStr">
        <is>
          <t>2</t>
        </is>
      </c>
      <c r="G7" s="57" t="inlineStr">
        <is>
          <t>2</t>
        </is>
      </c>
      <c r="H7" s="57" t="inlineStr">
        <is>
          <t>Common</t>
        </is>
      </c>
      <c r="I7" s="57" t="inlineStr">
        <is>
          <t>Noxus;Trifarian</t>
        </is>
      </c>
      <c r="J7" s="3" t="inlineStr">
        <is>
          <t>ACCELERATE (You may pay 1 Fury as an additional cost to have me enter ready.)</t>
        </is>
      </c>
      <c r="K7" s="667" t="n"/>
    </row>
    <row r="8" ht="15" customHeight="1">
      <c r="A8" s="57" t="inlineStr">
        <is>
          <t>OGN-011</t>
        </is>
      </c>
      <c r="B8" s="57" t="n">
        <v>3</v>
      </c>
      <c r="C8" s="57" t="inlineStr">
        <is>
          <t>Magma Wurm</t>
        </is>
      </c>
      <c r="D8" s="57" t="inlineStr">
        <is>
          <t>Fury</t>
        </is>
      </c>
      <c r="E8" s="57" t="inlineStr">
        <is>
          <t>Unit</t>
        </is>
      </c>
      <c r="F8" s="57" t="inlineStr">
        <is>
          <t>8</t>
        </is>
      </c>
      <c r="G8" s="57" t="inlineStr">
        <is>
          <t>8</t>
        </is>
      </c>
      <c r="H8" s="57" t="inlineStr">
        <is>
          <t>Common</t>
        </is>
      </c>
      <c r="I8" s="57" t="inlineStr">
        <is>
          <t>Freljord</t>
        </is>
      </c>
      <c r="J8" s="3" t="inlineStr">
        <is>
          <t>Other friendly units enter ready.</t>
        </is>
      </c>
      <c r="K8" s="667" t="n"/>
    </row>
    <row r="9" ht="15" customHeight="1">
      <c r="A9" s="57" t="inlineStr">
        <is>
          <t>OGN-012</t>
        </is>
      </c>
      <c r="B9" s="57" t="n">
        <v>3</v>
      </c>
      <c r="C9" s="57" t="inlineStr">
        <is>
          <t>Noxus Hopeful</t>
        </is>
      </c>
      <c r="D9" s="57" t="inlineStr">
        <is>
          <t>Fury</t>
        </is>
      </c>
      <c r="E9" s="57" t="inlineStr">
        <is>
          <t>Unit</t>
        </is>
      </c>
      <c r="F9" s="57" t="inlineStr">
        <is>
          <t>4</t>
        </is>
      </c>
      <c r="G9" s="57" t="inlineStr">
        <is>
          <t>4</t>
        </is>
      </c>
      <c r="H9" s="57" t="inlineStr">
        <is>
          <t>Common</t>
        </is>
      </c>
      <c r="I9" s="57" t="inlineStr">
        <is>
          <t>Noxus;Trifarian</t>
        </is>
      </c>
      <c r="J9" s="3" t="inlineStr">
        <is>
          <t>LEGION - I cost 2 less. (Get the effect if you've played another card this turn.)</t>
        </is>
      </c>
      <c r="K9" s="428" t="inlineStr">
        <is>
          <t>Draven(2)</t>
        </is>
      </c>
    </row>
    <row r="10" ht="15" customHeight="1">
      <c r="A10" s="57" t="inlineStr">
        <is>
          <t>OGN-014</t>
        </is>
      </c>
      <c r="B10" s="57" t="n">
        <v>3</v>
      </c>
      <c r="C10" s="57" t="inlineStr">
        <is>
          <t>Sky Splitter</t>
        </is>
      </c>
      <c r="D10" s="57" t="inlineStr">
        <is>
          <t>Fury</t>
        </is>
      </c>
      <c r="E10" s="57" t="inlineStr">
        <is>
          <t>Spell</t>
        </is>
      </c>
      <c r="F10" s="57" t="inlineStr">
        <is>
          <t>8</t>
        </is>
      </c>
      <c r="G10" s="57" t="inlineStr">
        <is>
          <t>0</t>
        </is>
      </c>
      <c r="H10" s="57" t="inlineStr">
        <is>
          <t>Common</t>
        </is>
      </c>
      <c r="I10" s="57" t="inlineStr"/>
      <c r="J10" s="3" t="inlineStr">
        <is>
          <t>ACTION (Play on your turn or in showdowns.)
This spell's Energy cost is reduced by the highest Might among units you control. 
Deal 5 to a unit at a battlefield.</t>
        </is>
      </c>
      <c r="K10" s="428" t="inlineStr">
        <is>
          <t>Draven SB(2)</t>
        </is>
      </c>
    </row>
    <row r="11" ht="15" customHeight="1">
      <c r="A11" s="57" t="inlineStr">
        <is>
          <t>OGN-015</t>
        </is>
      </c>
      <c r="B11" s="57" t="n">
        <v>1</v>
      </c>
      <c r="C11" s="57" t="inlineStr">
        <is>
          <t>Captain Farron</t>
        </is>
      </c>
      <c r="D11" s="57" t="inlineStr">
        <is>
          <t>Fury</t>
        </is>
      </c>
      <c r="E11" s="57" t="inlineStr">
        <is>
          <t>Unit</t>
        </is>
      </c>
      <c r="F11" s="57" t="inlineStr">
        <is>
          <t>4</t>
        </is>
      </c>
      <c r="G11" s="57" t="inlineStr">
        <is>
          <t>5</t>
        </is>
      </c>
      <c r="H11" s="57" t="inlineStr">
        <is>
          <t>Uncommon</t>
        </is>
      </c>
      <c r="I11" s="57" t="inlineStr">
        <is>
          <t>Noxus;Trifarian</t>
        </is>
      </c>
      <c r="J11" s="3" t="inlineStr">
        <is>
          <t>Other friendly units here have ASSAULT. 
(+1 Might while they're attackers.)</t>
        </is>
      </c>
      <c r="K11" s="428" t="inlineStr">
        <is>
          <t>Draven(1)</t>
        </is>
      </c>
    </row>
    <row r="12" ht="15" customHeight="1">
      <c r="A12" s="57" t="inlineStr">
        <is>
          <t>OGN-016</t>
        </is>
      </c>
      <c r="B12" s="57" t="n">
        <v>3</v>
      </c>
      <c r="C12" s="57" t="inlineStr">
        <is>
          <t>Dangerous Duo</t>
        </is>
      </c>
      <c r="D12" s="57" t="inlineStr">
        <is>
          <t>Fury</t>
        </is>
      </c>
      <c r="E12" s="57" t="inlineStr">
        <is>
          <t>Unit</t>
        </is>
      </c>
      <c r="F12" s="57" t="inlineStr">
        <is>
          <t>3</t>
        </is>
      </c>
      <c r="G12" s="57" t="inlineStr">
        <is>
          <t>3</t>
        </is>
      </c>
      <c r="H12" s="57" t="inlineStr">
        <is>
          <t>Uncommon</t>
        </is>
      </c>
      <c r="I12" s="57" t="inlineStr">
        <is>
          <t>Bandle City;Mech</t>
        </is>
      </c>
      <c r="J12" s="3" t="inlineStr">
        <is>
          <t>LEGION - When you play me, give a unit +2 Might this turn. (Get the effect if you've played another card this turn.)</t>
        </is>
      </c>
      <c r="K12" s="428" t="inlineStr">
        <is>
          <t>Draven(3)</t>
        </is>
      </c>
    </row>
    <row r="13" ht="15" customHeight="1">
      <c r="A13" s="57" t="inlineStr">
        <is>
          <t>OGN-019</t>
        </is>
      </c>
      <c r="B13" s="57" t="n">
        <v>3</v>
      </c>
      <c r="C13" s="57" t="inlineStr">
        <is>
          <t>Raging Soul</t>
        </is>
      </c>
      <c r="D13" s="57" t="inlineStr">
        <is>
          <t>Fury</t>
        </is>
      </c>
      <c r="E13" s="57" t="inlineStr">
        <is>
          <t>Unit</t>
        </is>
      </c>
      <c r="F13" s="57" t="inlineStr">
        <is>
          <t>4</t>
        </is>
      </c>
      <c r="G13" s="57" t="inlineStr">
        <is>
          <t>4</t>
        </is>
      </c>
      <c r="H13" s="57" t="inlineStr">
        <is>
          <t>Uncommon</t>
        </is>
      </c>
      <c r="I13" s="57" t="inlineStr">
        <is>
          <t>Shadow Isles;Spirit</t>
        </is>
      </c>
      <c r="J13" s="3" t="inlineStr">
        <is>
          <t>If you've discarded a card this turn, I have ASSAULT and GANKING. (+1 Might while I'm an attacker. I can move from battlefield to battlefield.)</t>
        </is>
      </c>
      <c r="K13" s="428" t="inlineStr">
        <is>
          <t>Draven(3)</t>
        </is>
      </c>
    </row>
    <row r="14" ht="15" customHeight="1">
      <c r="A14" s="57" t="inlineStr">
        <is>
          <t>OGN-022</t>
        </is>
      </c>
      <c r="B14" s="57" t="n">
        <v>3</v>
      </c>
      <c r="C14" s="57" t="inlineStr">
        <is>
          <t>Thermo Beam</t>
        </is>
      </c>
      <c r="D14" s="57" t="inlineStr">
        <is>
          <t>Fury</t>
        </is>
      </c>
      <c r="E14" s="57" t="inlineStr">
        <is>
          <t>Spell</t>
        </is>
      </c>
      <c r="F14" s="57" t="inlineStr">
        <is>
          <t>5</t>
        </is>
      </c>
      <c r="G14" s="57" t="inlineStr">
        <is>
          <t>0</t>
        </is>
      </c>
      <c r="H14" s="57" t="inlineStr">
        <is>
          <t>Uncommon</t>
        </is>
      </c>
      <c r="I14" s="57" t="inlineStr"/>
      <c r="J14" s="3" t="inlineStr">
        <is>
          <t>ACTION (Play on your turn or in showdowns.)
Kill all gear.</t>
        </is>
      </c>
      <c r="K14" s="428" t="inlineStr">
        <is>
          <t>Voli SB(3)</t>
        </is>
      </c>
    </row>
    <row r="15" ht="15" customHeight="1">
      <c r="A15" s="57" t="inlineStr">
        <is>
          <t>OGN-024</t>
        </is>
      </c>
      <c r="B15" s="57" t="n">
        <v>3</v>
      </c>
      <c r="C15" s="57" t="inlineStr">
        <is>
          <t>Void Seeker</t>
        </is>
      </c>
      <c r="D15" s="57" t="inlineStr">
        <is>
          <t>Fury</t>
        </is>
      </c>
      <c r="E15" s="57" t="inlineStr">
        <is>
          <t>Spell</t>
        </is>
      </c>
      <c r="F15" s="57" t="inlineStr">
        <is>
          <t>3</t>
        </is>
      </c>
      <c r="G15" s="57" t="inlineStr">
        <is>
          <t>0</t>
        </is>
      </c>
      <c r="H15" s="57" t="inlineStr">
        <is>
          <t>Uncommon</t>
        </is>
      </c>
      <c r="I15" s="57" t="inlineStr"/>
      <c r="J15" s="3" t="inlineStr">
        <is>
          <t>ACTION (Play on your turn or in showdowns.)Deal 4 to a unit at a battlefield. Draw 1.</t>
        </is>
      </c>
      <c r="K15" s="428" t="inlineStr">
        <is>
          <t>Voli(2)</t>
        </is>
      </c>
    </row>
    <row r="16" ht="15" customHeight="1">
      <c r="A16" s="57" t="inlineStr">
        <is>
          <t>OGN-026</t>
        </is>
      </c>
      <c r="B16" s="57" t="n">
        <v>1</v>
      </c>
      <c r="C16" s="57" t="inlineStr">
        <is>
          <t>Brynhir Thundersong</t>
        </is>
      </c>
      <c r="D16" s="57" t="inlineStr">
        <is>
          <t>Fury</t>
        </is>
      </c>
      <c r="E16" s="57" t="inlineStr">
        <is>
          <t>Unit</t>
        </is>
      </c>
      <c r="F16" s="57" t="inlineStr">
        <is>
          <t>6</t>
        </is>
      </c>
      <c r="G16" s="57" t="inlineStr">
        <is>
          <t>5</t>
        </is>
      </c>
      <c r="H16" s="57" t="inlineStr">
        <is>
          <t>Rare</t>
        </is>
      </c>
      <c r="I16" s="57" t="inlineStr">
        <is>
          <t>Freljord</t>
        </is>
      </c>
      <c r="J16" s="3" t="inlineStr">
        <is>
          <t>When you play me, opponents can't play cards this turn.</t>
        </is>
      </c>
      <c r="K16" s="428" t="inlineStr">
        <is>
          <t>Draven(1)</t>
        </is>
      </c>
    </row>
    <row r="17" ht="15" customHeight="1">
      <c r="A17" s="57" t="inlineStr">
        <is>
          <t>OGN-030</t>
        </is>
      </c>
      <c r="B17" s="57" t="n">
        <v>1</v>
      </c>
      <c r="C17" s="57" t="inlineStr">
        <is>
          <t>Jinx - Demolitionist</t>
        </is>
      </c>
      <c r="D17" s="57" t="inlineStr">
        <is>
          <t>Fury</t>
        </is>
      </c>
      <c r="E17" s="57" t="inlineStr">
        <is>
          <t>Champion Unit</t>
        </is>
      </c>
      <c r="F17" s="57" t="inlineStr">
        <is>
          <t>3</t>
        </is>
      </c>
      <c r="G17" s="57" t="inlineStr">
        <is>
          <t>4</t>
        </is>
      </c>
      <c r="H17" s="57" t="inlineStr">
        <is>
          <t>Rare</t>
        </is>
      </c>
      <c r="I17" s="57" t="inlineStr">
        <is>
          <t>Jinx;Zaun</t>
        </is>
      </c>
      <c r="J17" s="3" t="inlineStr">
        <is>
          <t>ACCELERATE (You may pay 1 Fury as an additional cost to have me enter ready.)ASSAULT 2 (+2 Might while I'm an attacker.)When you play me, discard 2.</t>
        </is>
      </c>
      <c r="K17" s="710" t="n"/>
    </row>
    <row r="18" ht="15" customHeight="1">
      <c r="A18" s="57" t="inlineStr">
        <is>
          <t>OGN-031</t>
        </is>
      </c>
      <c r="B18" s="57" t="n">
        <v>3</v>
      </c>
      <c r="C18" s="57" t="inlineStr">
        <is>
          <t>Raging Firebrand</t>
        </is>
      </c>
      <c r="D18" s="57" t="inlineStr">
        <is>
          <t>Fury</t>
        </is>
      </c>
      <c r="E18" s="57" t="inlineStr">
        <is>
          <t>Unit</t>
        </is>
      </c>
      <c r="F18" s="57" t="inlineStr">
        <is>
          <t>6</t>
        </is>
      </c>
      <c r="G18" s="57" t="inlineStr">
        <is>
          <t>4</t>
        </is>
      </c>
      <c r="H18" s="57" t="inlineStr">
        <is>
          <t>Rare</t>
        </is>
      </c>
      <c r="I18" s="57" t="inlineStr">
        <is>
          <t>Dragon;Mount Targon</t>
        </is>
      </c>
      <c r="J18" s="3" t="inlineStr">
        <is>
          <t>When you play me, the next spell you play this turn costs 5 less.</t>
        </is>
      </c>
      <c r="K18" s="428" t="inlineStr">
        <is>
          <t>Voli(3)</t>
        </is>
      </c>
    </row>
    <row r="19" ht="15" customHeight="1">
      <c r="A19" s="57" t="inlineStr">
        <is>
          <t>OGN-033</t>
        </is>
      </c>
      <c r="B19" s="57" t="n">
        <v>3</v>
      </c>
      <c r="C19" s="57" t="inlineStr">
        <is>
          <t>Shakedown</t>
        </is>
      </c>
      <c r="D19" s="57" t="inlineStr">
        <is>
          <t>Fury</t>
        </is>
      </c>
      <c r="E19" s="57" t="inlineStr">
        <is>
          <t>Spell</t>
        </is>
      </c>
      <c r="F19" s="57" t="inlineStr">
        <is>
          <t>2</t>
        </is>
      </c>
      <c r="G19" s="57" t="inlineStr">
        <is>
          <t>0</t>
        </is>
      </c>
      <c r="H19" s="57" t="inlineStr">
        <is>
          <t>Rare</t>
        </is>
      </c>
      <c r="I19" s="57" t="inlineStr"/>
      <c r="J19" s="3" t="inlineStr">
        <is>
          <t>REACTION (Play any time, even before spells and abilities resolve.)
Choose an enemy unit. Deal 6 to it unless its controller has you draw 2.</t>
        </is>
      </c>
      <c r="K19" s="428" t="inlineStr">
        <is>
          <t>Voli(3)</t>
        </is>
      </c>
    </row>
    <row r="20" ht="15" customHeight="1">
      <c r="A20" s="57" t="inlineStr">
        <is>
          <t>OGN-034</t>
        </is>
      </c>
      <c r="B20" s="57" t="n">
        <v>3</v>
      </c>
      <c r="C20" s="57" t="inlineStr">
        <is>
          <t>Tryndamere - Barbarian</t>
        </is>
      </c>
      <c r="D20" s="57" t="inlineStr">
        <is>
          <t>Fury</t>
        </is>
      </c>
      <c r="E20" s="57" t="inlineStr">
        <is>
          <t>Champion Unit</t>
        </is>
      </c>
      <c r="F20" s="57" t="inlineStr">
        <is>
          <t>7</t>
        </is>
      </c>
      <c r="G20" s="57" t="inlineStr">
        <is>
          <t>8</t>
        </is>
      </c>
      <c r="H20" s="57" t="inlineStr">
        <is>
          <t>Rare</t>
        </is>
      </c>
      <c r="I20" s="57" t="inlineStr">
        <is>
          <t>Freljord;Tryndamere</t>
        </is>
      </c>
      <c r="J20" s="3" t="inlineStr">
        <is>
          <t>When I conquer after an attack, if you assigned 5 or more excess damage to enemy units, you score 1 point.</t>
        </is>
      </c>
      <c r="K20" s="428" t="inlineStr">
        <is>
          <t>Draven(1)</t>
        </is>
      </c>
    </row>
    <row r="21" ht="15" customHeight="1">
      <c r="A21" s="57" t="inlineStr">
        <is>
          <t>OGN-036</t>
        </is>
      </c>
      <c r="B21" s="57" t="n">
        <v>2</v>
      </c>
      <c r="C21" s="57" t="inlineStr">
        <is>
          <t>Vi - Destructive</t>
        </is>
      </c>
      <c r="D21" s="57" t="inlineStr">
        <is>
          <t>Fury</t>
        </is>
      </c>
      <c r="E21" s="57" t="inlineStr">
        <is>
          <t>Champion Unit</t>
        </is>
      </c>
      <c r="F21" s="57" t="inlineStr">
        <is>
          <t>2</t>
        </is>
      </c>
      <c r="G21" s="57" t="inlineStr">
        <is>
          <t>3</t>
        </is>
      </c>
      <c r="H21" s="57" t="inlineStr">
        <is>
          <t>Rare</t>
        </is>
      </c>
      <c r="I21" s="57" t="inlineStr">
        <is>
          <t>Piltover;Vi</t>
        </is>
      </c>
      <c r="J21" s="3" t="inlineStr">
        <is>
          <t>GANKING (I can move from battlefield to battlefield.)Recycle 1 from your trash: Give me +1 Might this turn.</t>
        </is>
      </c>
      <c r="K21" s="667" t="n"/>
    </row>
    <row r="22" ht="15" customHeight="1">
      <c r="A22" s="57" t="inlineStr">
        <is>
          <t>OGN-038</t>
        </is>
      </c>
      <c r="B22" s="57" t="n">
        <v>3</v>
      </c>
      <c r="C22" s="57" t="inlineStr">
        <is>
          <t>Kadregrin the Infernal</t>
        </is>
      </c>
      <c r="D22" s="57" t="inlineStr">
        <is>
          <t>Fury</t>
        </is>
      </c>
      <c r="E22" s="57" t="inlineStr">
        <is>
          <t>Unit</t>
        </is>
      </c>
      <c r="F22" s="57" t="inlineStr">
        <is>
          <t>9</t>
        </is>
      </c>
      <c r="G22" s="57" t="inlineStr">
        <is>
          <t>9</t>
        </is>
      </c>
      <c r="H22" s="57" t="inlineStr">
        <is>
          <t>Epic</t>
        </is>
      </c>
      <c r="I22" s="57" t="inlineStr">
        <is>
          <t>Demacia;Dragon</t>
        </is>
      </c>
      <c r="J22" s="3" t="inlineStr">
        <is>
          <t>When you play me, draw 1 for each of your MIGHTY units. (A unit is Mighty while it has 5+ Might.)</t>
        </is>
      </c>
      <c r="K22" s="428" t="inlineStr">
        <is>
          <t>Voli(3)</t>
        </is>
      </c>
    </row>
    <row r="23" ht="15" customHeight="1">
      <c r="A23" s="57" t="inlineStr">
        <is>
          <t>OGN-041</t>
        </is>
      </c>
      <c r="B23" s="57" t="n">
        <v>2</v>
      </c>
      <c r="C23" s="57" t="inlineStr">
        <is>
          <t>Volibear - Furious</t>
        </is>
      </c>
      <c r="D23" s="57" t="inlineStr">
        <is>
          <t>Fury</t>
        </is>
      </c>
      <c r="E23" s="57" t="inlineStr">
        <is>
          <t>Champion Unit</t>
        </is>
      </c>
      <c r="F23" s="57" t="inlineStr">
        <is>
          <t>10</t>
        </is>
      </c>
      <c r="G23" s="57" t="inlineStr">
        <is>
          <t>9</t>
        </is>
      </c>
      <c r="H23" s="57" t="inlineStr">
        <is>
          <t>Epic</t>
        </is>
      </c>
      <c r="I23" s="57" t="inlineStr">
        <is>
          <t>Freljord;Volibear</t>
        </is>
      </c>
      <c r="J23" s="3" t="inlineStr">
        <is>
          <t>DEFLECT 2 (Opponents must play 2 Power to choose me with a spell or ability.)When I attack, deal 5 damage split among any number of enemy units here.</t>
        </is>
      </c>
      <c r="K23" s="428" t="inlineStr">
        <is>
          <t>Voli(2)</t>
        </is>
      </c>
    </row>
    <row r="24" ht="15" customHeight="1">
      <c r="A24" s="49" t="inlineStr">
        <is>
          <t>OGN-043</t>
        </is>
      </c>
      <c r="B24" s="49" t="n">
        <v>2</v>
      </c>
      <c r="C24" s="49" t="inlineStr">
        <is>
          <t>Charm</t>
        </is>
      </c>
      <c r="D24" s="49" t="inlineStr">
        <is>
          <t>Calm</t>
        </is>
      </c>
      <c r="E24" s="49" t="inlineStr">
        <is>
          <t>Spell</t>
        </is>
      </c>
      <c r="F24" s="49" t="inlineStr">
        <is>
          <t>1</t>
        </is>
      </c>
      <c r="G24" s="49" t="inlineStr">
        <is>
          <t>0</t>
        </is>
      </c>
      <c r="H24" s="49" t="inlineStr">
        <is>
          <t>Common</t>
        </is>
      </c>
      <c r="I24" s="49" t="inlineStr"/>
      <c r="J24" s="5" t="inlineStr">
        <is>
          <t>Move an enemy unit.</t>
        </is>
      </c>
      <c r="K24" s="667" t="n"/>
    </row>
    <row r="25" ht="15" customHeight="1">
      <c r="A25" s="49" t="inlineStr">
        <is>
          <t>OGN-047</t>
        </is>
      </c>
      <c r="B25" s="49" t="n">
        <v>2</v>
      </c>
      <c r="C25" s="49" t="inlineStr">
        <is>
          <t>Find Your Center</t>
        </is>
      </c>
      <c r="D25" s="49" t="inlineStr">
        <is>
          <t>Calm</t>
        </is>
      </c>
      <c r="E25" s="49" t="inlineStr">
        <is>
          <t>Spell</t>
        </is>
      </c>
      <c r="F25" s="49" t="inlineStr">
        <is>
          <t>3</t>
        </is>
      </c>
      <c r="G25" s="49" t="inlineStr">
        <is>
          <t>0</t>
        </is>
      </c>
      <c r="H25" s="49" t="inlineStr">
        <is>
          <t>Common</t>
        </is>
      </c>
      <c r="I25" s="49" t="inlineStr"/>
      <c r="J25" s="5" t="inlineStr">
        <is>
          <t>ACTION (Play on your turn or in showdowns.)
If an opponent's score is within 3 points of the Victory Score, this costs 2 less.
Draw 1 and channel 1 rune exhausted.</t>
        </is>
      </c>
      <c r="K25" s="667" t="n"/>
    </row>
    <row r="26" ht="15" customHeight="1">
      <c r="A26" s="49" t="inlineStr">
        <is>
          <t>OGN-052</t>
        </is>
      </c>
      <c r="B26" s="49" t="n">
        <v>3</v>
      </c>
      <c r="C26" s="49" t="inlineStr">
        <is>
          <t>Stalwart Poro</t>
        </is>
      </c>
      <c r="D26" s="49" t="inlineStr">
        <is>
          <t>Calm</t>
        </is>
      </c>
      <c r="E26" s="49" t="inlineStr">
        <is>
          <t>Unit</t>
        </is>
      </c>
      <c r="F26" s="49" t="inlineStr">
        <is>
          <t>2</t>
        </is>
      </c>
      <c r="G26" s="49" t="inlineStr">
        <is>
          <t>2</t>
        </is>
      </c>
      <c r="H26" s="49" t="inlineStr">
        <is>
          <t>Common</t>
        </is>
      </c>
      <c r="I26" s="49" t="inlineStr">
        <is>
          <t>Poro</t>
        </is>
      </c>
      <c r="J26" s="5" t="inlineStr">
        <is>
          <t>SHIELD (+1 Might while I'm a defender.)</t>
        </is>
      </c>
      <c r="K26" s="667" t="n"/>
    </row>
    <row r="27" ht="15" customHeight="1">
      <c r="A27" s="49" t="inlineStr">
        <is>
          <t>OGN-053</t>
        </is>
      </c>
      <c r="B27" s="49" t="n">
        <v>3</v>
      </c>
      <c r="C27" s="49" t="inlineStr">
        <is>
          <t>Stand United</t>
        </is>
      </c>
      <c r="D27" s="49" t="inlineStr">
        <is>
          <t>Calm</t>
        </is>
      </c>
      <c r="E27" s="49" t="inlineStr">
        <is>
          <t>Spell</t>
        </is>
      </c>
      <c r="F27" s="49" t="inlineStr">
        <is>
          <t>3</t>
        </is>
      </c>
      <c r="G27" s="49" t="inlineStr">
        <is>
          <t>0</t>
        </is>
      </c>
      <c r="H27" s="49" t="inlineStr">
        <is>
          <t>Common</t>
        </is>
      </c>
      <c r="I27" s="49" t="inlineStr"/>
      <c r="J27" s="5" t="inlineStr">
        <is>
          <t>HIDDEN (Hide now for 1 Rune to react with later for 0.)
ACTION (Play on your turn or in showdowns.)
Buff a friendly unit. Buffs give an additional +1 Might to friendly units this turn. (To buff a unit, give it a +1 Might buff if it doesn't already have one.)</t>
        </is>
      </c>
      <c r="K27" s="667" t="n"/>
    </row>
    <row r="28" ht="15" customHeight="1">
      <c r="A28" s="49" t="inlineStr">
        <is>
          <t>OGN-054</t>
        </is>
      </c>
      <c r="B28" s="49" t="n">
        <v>1</v>
      </c>
      <c r="C28" s="49" t="inlineStr">
        <is>
          <t>Sunlit Guardian</t>
        </is>
      </c>
      <c r="D28" s="49" t="inlineStr">
        <is>
          <t>Calm</t>
        </is>
      </c>
      <c r="E28" s="49" t="inlineStr">
        <is>
          <t>Unit</t>
        </is>
      </c>
      <c r="F28" s="49" t="inlineStr">
        <is>
          <t>3</t>
        </is>
      </c>
      <c r="G28" s="49" t="inlineStr">
        <is>
          <t>3</t>
        </is>
      </c>
      <c r="H28" s="49" t="inlineStr">
        <is>
          <t>Common</t>
        </is>
      </c>
      <c r="I28" s="49" t="inlineStr">
        <is>
          <t>Shurima</t>
        </is>
      </c>
      <c r="J28" s="5" t="inlineStr">
        <is>
          <t>SHIELD (+1 Might while I'm a defender.)
TANK (I must be assigned combat damage first.)</t>
        </is>
      </c>
      <c r="K28" s="667" t="n"/>
    </row>
    <row r="29" ht="15" customHeight="1">
      <c r="A29" s="49" t="inlineStr">
        <is>
          <t>OGN-055</t>
        </is>
      </c>
      <c r="B29" s="49" t="n">
        <v>3</v>
      </c>
      <c r="C29" s="49" t="inlineStr">
        <is>
          <t>Wielder of Water</t>
        </is>
      </c>
      <c r="D29" s="49" t="inlineStr">
        <is>
          <t>Calm</t>
        </is>
      </c>
      <c r="E29" s="49" t="inlineStr">
        <is>
          <t>Unit</t>
        </is>
      </c>
      <c r="F29" s="49" t="inlineStr">
        <is>
          <t>3</t>
        </is>
      </c>
      <c r="G29" s="49" t="inlineStr">
        <is>
          <t>2</t>
        </is>
      </c>
      <c r="H29" s="49" t="inlineStr">
        <is>
          <t>Common</t>
        </is>
      </c>
      <c r="I29" s="49" t="inlineStr">
        <is>
          <t>Ionia</t>
        </is>
      </c>
      <c r="J29" s="5" t="inlineStr">
        <is>
          <t>While I'm attacking or defending alone, I have +2 Might.</t>
        </is>
      </c>
      <c r="K29" s="667" t="n"/>
    </row>
    <row r="30" ht="15" customHeight="1">
      <c r="A30" s="49" t="inlineStr">
        <is>
          <t>OGN-058</t>
        </is>
      </c>
      <c r="B30" s="49" t="n">
        <v>3</v>
      </c>
      <c r="C30" s="49" t="inlineStr">
        <is>
          <t>Discipline</t>
        </is>
      </c>
      <c r="D30" s="49" t="inlineStr">
        <is>
          <t>Calm</t>
        </is>
      </c>
      <c r="E30" s="49" t="inlineStr">
        <is>
          <t>Spell</t>
        </is>
      </c>
      <c r="F30" s="49" t="inlineStr">
        <is>
          <t>2</t>
        </is>
      </c>
      <c r="G30" s="49" t="inlineStr">
        <is>
          <t>0</t>
        </is>
      </c>
      <c r="H30" s="49" t="inlineStr">
        <is>
          <t>Uncommon</t>
        </is>
      </c>
      <c r="I30" s="49" t="inlineStr"/>
      <c r="J30" s="5" t="inlineStr">
        <is>
          <t>REACTION (Play any time, even before spells and abilities resolve.)Give a unit +2 Might this turn. Draw 1.</t>
        </is>
      </c>
      <c r="K30" s="428" t="inlineStr">
        <is>
          <t>Azir(3)</t>
        </is>
      </c>
    </row>
    <row r="31" ht="15" customHeight="1">
      <c r="A31" s="49" t="inlineStr">
        <is>
          <t>OGN-060</t>
        </is>
      </c>
      <c r="B31" s="49" t="n">
        <v>1</v>
      </c>
      <c r="C31" s="49" t="inlineStr">
        <is>
          <t>Mask of Foresight</t>
        </is>
      </c>
      <c r="D31" s="49" t="inlineStr">
        <is>
          <t>Calm</t>
        </is>
      </c>
      <c r="E31" s="49" t="inlineStr">
        <is>
          <t>Gear</t>
        </is>
      </c>
      <c r="F31" s="49" t="inlineStr">
        <is>
          <t>2</t>
        </is>
      </c>
      <c r="G31" s="49" t="inlineStr">
        <is>
          <t>0</t>
        </is>
      </c>
      <c r="H31" s="49" t="inlineStr">
        <is>
          <t>Uncommon</t>
        </is>
      </c>
      <c r="I31" s="49" t="inlineStr"/>
      <c r="J31" s="5" t="inlineStr">
        <is>
          <t>When a friendly unit attacks or defends alone, give it +1 Might this turn.</t>
        </is>
      </c>
      <c r="K31" s="667" t="n"/>
    </row>
    <row r="32" ht="15" customHeight="1">
      <c r="A32" s="49" t="inlineStr">
        <is>
          <t>OGN-065</t>
        </is>
      </c>
      <c r="B32" s="49" t="n">
        <v>3</v>
      </c>
      <c r="C32" s="49" t="inlineStr">
        <is>
          <t>Wizened Elder</t>
        </is>
      </c>
      <c r="D32" s="49" t="inlineStr">
        <is>
          <t>Calm</t>
        </is>
      </c>
      <c r="E32" s="49" t="inlineStr">
        <is>
          <t>Unit</t>
        </is>
      </c>
      <c r="F32" s="49" t="inlineStr">
        <is>
          <t>4</t>
        </is>
      </c>
      <c r="G32" s="49" t="inlineStr">
        <is>
          <t>4</t>
        </is>
      </c>
      <c r="H32" s="49" t="inlineStr">
        <is>
          <t>Uncommon</t>
        </is>
      </c>
      <c r="I32" s="49" t="inlineStr">
        <is>
          <t>Ionia</t>
        </is>
      </c>
      <c r="J32" s="5" t="inlineStr">
        <is>
          <t>While I'm buffed, I have an additional +1 Might.</t>
        </is>
      </c>
      <c r="K32" s="428" t="inlineStr">
        <is>
          <t>Azir SB(1)</t>
        </is>
      </c>
    </row>
    <row r="33" ht="15" customHeight="1">
      <c r="A33" s="49" t="inlineStr">
        <is>
          <t>OGN-067</t>
        </is>
      </c>
      <c r="B33" s="49" t="n">
        <v>1</v>
      </c>
      <c r="C33" s="49" t="inlineStr">
        <is>
          <t>Blitzcrank - Impassive</t>
        </is>
      </c>
      <c r="D33" s="49" t="inlineStr">
        <is>
          <t>Calm</t>
        </is>
      </c>
      <c r="E33" s="49" t="inlineStr">
        <is>
          <t>Champion Unit</t>
        </is>
      </c>
      <c r="F33" s="49" t="inlineStr">
        <is>
          <t>5</t>
        </is>
      </c>
      <c r="G33" s="49" t="inlineStr">
        <is>
          <t>5</t>
        </is>
      </c>
      <c r="H33" s="49" t="inlineStr">
        <is>
          <t>Rare</t>
        </is>
      </c>
      <c r="I33" s="49" t="inlineStr">
        <is>
          <t>Blitzcrank;Mech;Zaun</t>
        </is>
      </c>
      <c r="J33" s="5" t="inlineStr">
        <is>
          <t>TANK (I must be assigned combat damage first.)
When you play me to a battlefield, you may move an enemy unit to here.
When I hold, return me to my owner's hand.</t>
        </is>
      </c>
      <c r="K33" s="667" t="n"/>
    </row>
    <row r="34" ht="15" customHeight="1">
      <c r="A34" s="49" t="inlineStr">
        <is>
          <t>OGN-072</t>
        </is>
      </c>
      <c r="B34" s="49" t="n">
        <v>1</v>
      </c>
      <c r="C34" s="49" t="inlineStr">
        <is>
          <t>Solari Shrine</t>
        </is>
      </c>
      <c r="D34" s="49" t="inlineStr">
        <is>
          <t>Calm</t>
        </is>
      </c>
      <c r="E34" s="49" t="inlineStr">
        <is>
          <t>Gear</t>
        </is>
      </c>
      <c r="F34" s="49" t="inlineStr">
        <is>
          <t>3</t>
        </is>
      </c>
      <c r="G34" s="49" t="inlineStr">
        <is>
          <t>0</t>
        </is>
      </c>
      <c r="H34" s="49" t="inlineStr">
        <is>
          <t>Rare</t>
        </is>
      </c>
      <c r="I34" s="49" t="inlineStr"/>
      <c r="J34" s="5" t="inlineStr">
        <is>
          <t>When you kill a stunned enemy unit, you may exhaust this to draw 1.</t>
        </is>
      </c>
      <c r="K34" s="667" t="n"/>
    </row>
    <row r="35" ht="15" customHeight="1">
      <c r="A35" s="54" t="inlineStr">
        <is>
          <t>OGN-083</t>
        </is>
      </c>
      <c r="B35" s="54" t="n">
        <v>3</v>
      </c>
      <c r="C35" s="54" t="inlineStr">
        <is>
          <t>Consult the Past</t>
        </is>
      </c>
      <c r="D35" s="54" t="inlineStr">
        <is>
          <t>Mind</t>
        </is>
      </c>
      <c r="E35" s="54" t="inlineStr">
        <is>
          <t>Spell</t>
        </is>
      </c>
      <c r="F35" s="54" t="inlineStr">
        <is>
          <t>4</t>
        </is>
      </c>
      <c r="G35" s="54" t="inlineStr">
        <is>
          <t>0</t>
        </is>
      </c>
      <c r="H35" s="54" t="inlineStr">
        <is>
          <t>Common</t>
        </is>
      </c>
      <c r="I35" s="54" t="inlineStr"/>
      <c r="J35" s="7" t="inlineStr">
        <is>
          <t>HIDDEN (Hide now for 1 Rune to react with later for 0.)
REACTION (Play any time, even before spells and abilities resolve.)
Draw 2.</t>
        </is>
      </c>
      <c r="K35" s="710" t="n"/>
    </row>
    <row r="36" ht="15" customHeight="1">
      <c r="A36" s="54" t="inlineStr">
        <is>
          <t>OGN-084</t>
        </is>
      </c>
      <c r="B36" s="54" t="n">
        <v>3</v>
      </c>
      <c r="C36" s="54" t="inlineStr">
        <is>
          <t>Eager Apprentice</t>
        </is>
      </c>
      <c r="D36" s="54" t="inlineStr">
        <is>
          <t>Mind</t>
        </is>
      </c>
      <c r="E36" s="54" t="inlineStr">
        <is>
          <t>Unit</t>
        </is>
      </c>
      <c r="F36" s="54" t="inlineStr">
        <is>
          <t>3</t>
        </is>
      </c>
      <c r="G36" s="54" t="inlineStr">
        <is>
          <t>3</t>
        </is>
      </c>
      <c r="H36" s="54" t="inlineStr">
        <is>
          <t>Common</t>
        </is>
      </c>
      <c r="I36" s="54" t="inlineStr">
        <is>
          <t>Piltover</t>
        </is>
      </c>
      <c r="J36" s="7" t="inlineStr">
        <is>
          <t>While I'm at a battlefield, the Energy costs for spells you play is reduced by 1, to a minimum of 1.</t>
        </is>
      </c>
      <c r="K36" s="710" t="n"/>
    </row>
    <row r="37" ht="15" customHeight="1">
      <c r="A37" s="54" t="inlineStr">
        <is>
          <t>OGN-086</t>
        </is>
      </c>
      <c r="B37" s="54" t="n">
        <v>2</v>
      </c>
      <c r="C37" s="54" t="inlineStr">
        <is>
          <t>Jeweled Colossus</t>
        </is>
      </c>
      <c r="D37" s="54" t="inlineStr">
        <is>
          <t>Mind</t>
        </is>
      </c>
      <c r="E37" s="54" t="inlineStr">
        <is>
          <t>Unit</t>
        </is>
      </c>
      <c r="F37" s="54" t="inlineStr">
        <is>
          <t>5</t>
        </is>
      </c>
      <c r="G37" s="54" t="inlineStr">
        <is>
          <t>5</t>
        </is>
      </c>
      <c r="H37" s="54" t="inlineStr">
        <is>
          <t>Common</t>
        </is>
      </c>
      <c r="I37" s="54" t="inlineStr">
        <is>
          <t>Mount Targon</t>
        </is>
      </c>
      <c r="J37" s="7" t="inlineStr">
        <is>
          <t>VISION (When you play me, look at the top card of your Main Deck. You may recycle it.)
SHIELD (+1 Might while I'm a defender.)</t>
        </is>
      </c>
      <c r="K37" s="710" t="n"/>
    </row>
    <row r="38" ht="15" customHeight="1">
      <c r="A38" s="54" t="inlineStr">
        <is>
          <t>OGN-087</t>
        </is>
      </c>
      <c r="B38" s="54" t="n">
        <v>2</v>
      </c>
      <c r="C38" s="54" t="inlineStr">
        <is>
          <t>Lecturing Yordle</t>
        </is>
      </c>
      <c r="D38" s="54" t="inlineStr">
        <is>
          <t>Mind</t>
        </is>
      </c>
      <c r="E38" s="54" t="inlineStr">
        <is>
          <t>Unit</t>
        </is>
      </c>
      <c r="F38" s="54" t="inlineStr">
        <is>
          <t>3</t>
        </is>
      </c>
      <c r="G38" s="54" t="inlineStr">
        <is>
          <t>2</t>
        </is>
      </c>
      <c r="H38" s="54" t="inlineStr">
        <is>
          <t>Common</t>
        </is>
      </c>
      <c r="I38" s="54" t="inlineStr">
        <is>
          <t>Bandle City;Yordle</t>
        </is>
      </c>
      <c r="J38" s="7" t="inlineStr">
        <is>
          <t>TANK (I must be assigned combat damage first.)
When you play me, draw 1.</t>
        </is>
      </c>
      <c r="K38" s="710" t="n"/>
    </row>
    <row r="39" ht="15" customHeight="1">
      <c r="A39" s="54" t="inlineStr">
        <is>
          <t>OGN-090</t>
        </is>
      </c>
      <c r="B39" s="54" t="n">
        <v>2</v>
      </c>
      <c r="C39" s="54" t="inlineStr">
        <is>
          <t>Orb of Regret</t>
        </is>
      </c>
      <c r="D39" s="54" t="inlineStr">
        <is>
          <t>Mind</t>
        </is>
      </c>
      <c r="E39" s="54" t="inlineStr">
        <is>
          <t>Gear</t>
        </is>
      </c>
      <c r="F39" s="54" t="inlineStr">
        <is>
          <t>1</t>
        </is>
      </c>
      <c r="G39" s="54" t="inlineStr">
        <is>
          <t>0</t>
        </is>
      </c>
      <c r="H39" s="54" t="inlineStr">
        <is>
          <t>Common</t>
        </is>
      </c>
      <c r="I39" s="54" t="inlineStr"/>
      <c r="J39" s="7" t="inlineStr">
        <is>
          <t>Exhaust: Give a unit -1 Might this turn, to a minimum of 1 Might.</t>
        </is>
      </c>
      <c r="K39" s="667" t="n"/>
    </row>
    <row r="40" ht="15" customHeight="1">
      <c r="A40" s="54" t="inlineStr">
        <is>
          <t>OGN-093</t>
        </is>
      </c>
      <c r="B40" s="54" t="n">
        <v>3</v>
      </c>
      <c r="C40" s="54" t="inlineStr">
        <is>
          <t>Smoke Screen</t>
        </is>
      </c>
      <c r="D40" s="54" t="inlineStr">
        <is>
          <t>Mind</t>
        </is>
      </c>
      <c r="E40" s="54" t="inlineStr">
        <is>
          <t>Spell</t>
        </is>
      </c>
      <c r="F40" s="54" t="inlineStr">
        <is>
          <t>2</t>
        </is>
      </c>
      <c r="G40" s="54" t="inlineStr">
        <is>
          <t>0</t>
        </is>
      </c>
      <c r="H40" s="54" t="inlineStr">
        <is>
          <t>Common</t>
        </is>
      </c>
      <c r="I40" s="54" t="inlineStr"/>
      <c r="J40" s="7" t="inlineStr">
        <is>
          <t>Exhaust: Give a unit -1 Might this turn, to a minimum of 1 Might.</t>
        </is>
      </c>
      <c r="K40" s="710" t="n"/>
    </row>
    <row r="41" ht="15" customHeight="1">
      <c r="A41" s="54" t="inlineStr">
        <is>
          <t>OGN-094</t>
        </is>
      </c>
      <c r="B41" s="54" t="n">
        <v>2</v>
      </c>
      <c r="C41" s="54" t="inlineStr">
        <is>
          <t>Sprite Call</t>
        </is>
      </c>
      <c r="D41" s="54" t="inlineStr">
        <is>
          <t>Mind</t>
        </is>
      </c>
      <c r="E41" s="54" t="inlineStr">
        <is>
          <t>Spell</t>
        </is>
      </c>
      <c r="F41" s="54" t="inlineStr">
        <is>
          <t>3</t>
        </is>
      </c>
      <c r="G41" s="54" t="inlineStr">
        <is>
          <t>0</t>
        </is>
      </c>
      <c r="H41" s="54" t="inlineStr">
        <is>
          <t>Common</t>
        </is>
      </c>
      <c r="I41" s="54" t="inlineStr"/>
      <c r="J41" s="7" t="inlineStr">
        <is>
          <t>HIDDEN (Hide now for 1 Rune to react with later for 0.)
ACTION (Play on your turn or in showdowns.)
Play a ready 3 Might Sprite unit token with TEMPORARY. (Kill it at the start of its controller's Beginning Phase, before scoring.)</t>
        </is>
      </c>
      <c r="K41" s="710" t="n"/>
    </row>
    <row r="42" ht="15" customHeight="1">
      <c r="A42" s="54" t="inlineStr">
        <is>
          <t>OGN-095</t>
        </is>
      </c>
      <c r="B42" s="54" t="n">
        <v>3</v>
      </c>
      <c r="C42" s="54" t="inlineStr">
        <is>
          <t>Stupefy</t>
        </is>
      </c>
      <c r="D42" s="54" t="inlineStr">
        <is>
          <t>Mind</t>
        </is>
      </c>
      <c r="E42" s="54" t="inlineStr">
        <is>
          <t>Spell</t>
        </is>
      </c>
      <c r="F42" s="54" t="inlineStr">
        <is>
          <t>1</t>
        </is>
      </c>
      <c r="G42" s="54" t="inlineStr">
        <is>
          <t>0</t>
        </is>
      </c>
      <c r="H42" s="54" t="inlineStr">
        <is>
          <t>Common</t>
        </is>
      </c>
      <c r="I42" s="54" t="inlineStr"/>
      <c r="J42" s="7" t="inlineStr">
        <is>
          <t>REACTION (Play any time, even before spells and abilities resolve.)
Give a unit -1 Might this turn, to a minimum of 1 Might. Draw 1.</t>
        </is>
      </c>
      <c r="K42" s="710" t="n"/>
    </row>
    <row r="43" ht="15" customHeight="1">
      <c r="A43" s="54" t="inlineStr">
        <is>
          <t>OGN-096</t>
        </is>
      </c>
      <c r="B43" s="54" t="n">
        <v>1</v>
      </c>
      <c r="C43" s="54" t="inlineStr">
        <is>
          <t>Watchful Sentry</t>
        </is>
      </c>
      <c r="D43" s="54" t="inlineStr">
        <is>
          <t>Mind</t>
        </is>
      </c>
      <c r="E43" s="54" t="inlineStr">
        <is>
          <t>Unit</t>
        </is>
      </c>
      <c r="F43" s="54" t="inlineStr">
        <is>
          <t>2</t>
        </is>
      </c>
      <c r="G43" s="54" t="inlineStr">
        <is>
          <t>1</t>
        </is>
      </c>
      <c r="H43" s="54" t="inlineStr">
        <is>
          <t>Common</t>
        </is>
      </c>
      <c r="I43" s="54" t="inlineStr">
        <is>
          <t>Freljord</t>
        </is>
      </c>
      <c r="J43" s="7" t="inlineStr">
        <is>
          <t>DEATHKNELL - Draw 1. (When I die, get the effect.)</t>
        </is>
      </c>
      <c r="K43" s="667" t="n"/>
    </row>
    <row r="44" ht="15" customHeight="1">
      <c r="A44" s="54" t="inlineStr">
        <is>
          <t>OGN-101</t>
        </is>
      </c>
      <c r="B44" s="54" t="n">
        <v>2</v>
      </c>
      <c r="C44" s="54" t="inlineStr">
        <is>
          <t>Mushroom Pouch</t>
        </is>
      </c>
      <c r="D44" s="54" t="inlineStr">
        <is>
          <t>Mind</t>
        </is>
      </c>
      <c r="E44" s="54" t="inlineStr">
        <is>
          <t>Gear</t>
        </is>
      </c>
      <c r="F44" s="54" t="inlineStr">
        <is>
          <t>2</t>
        </is>
      </c>
      <c r="G44" s="54" t="inlineStr">
        <is>
          <t>0</t>
        </is>
      </c>
      <c r="H44" s="54" t="inlineStr">
        <is>
          <t>Uncommon</t>
        </is>
      </c>
      <c r="I44" s="54" t="inlineStr"/>
      <c r="J44" s="7" t="inlineStr">
        <is>
          <t>At the start of your Beginning Phase, if you control a facedown card at a battlefield, draw 1.</t>
        </is>
      </c>
      <c r="K44" s="710" t="n"/>
    </row>
    <row r="45" ht="15" customHeight="1">
      <c r="A45" s="54" t="inlineStr">
        <is>
          <t>OGN-103</t>
        </is>
      </c>
      <c r="B45" s="54" t="n">
        <v>3</v>
      </c>
      <c r="C45" s="54" t="inlineStr">
        <is>
          <t>Ravenbloom Student</t>
        </is>
      </c>
      <c r="D45" s="54" t="inlineStr">
        <is>
          <t>Mind</t>
        </is>
      </c>
      <c r="E45" s="54" t="inlineStr">
        <is>
          <t>Unit</t>
        </is>
      </c>
      <c r="F45" s="54" t="inlineStr">
        <is>
          <t>2</t>
        </is>
      </c>
      <c r="G45" s="54" t="inlineStr">
        <is>
          <t>2</t>
        </is>
      </c>
      <c r="H45" s="54" t="inlineStr">
        <is>
          <t>Uncommon</t>
        </is>
      </c>
      <c r="I45" s="54" t="inlineStr">
        <is>
          <t>Noxus</t>
        </is>
      </c>
      <c r="J45" s="7" t="inlineStr">
        <is>
          <t>When you play a spell, give me +1 Might this turn.</t>
        </is>
      </c>
      <c r="K45" s="710" t="n"/>
    </row>
    <row r="46" ht="15" customHeight="1">
      <c r="A46" s="54" t="inlineStr">
        <is>
          <t>OGN-105</t>
        </is>
      </c>
      <c r="B46" s="54" t="n">
        <v>1</v>
      </c>
      <c r="C46" s="54" t="inlineStr">
        <is>
          <t>Singularity</t>
        </is>
      </c>
      <c r="D46" s="54" t="inlineStr">
        <is>
          <t>Mind</t>
        </is>
      </c>
      <c r="E46" s="54" t="inlineStr">
        <is>
          <t>Spell</t>
        </is>
      </c>
      <c r="F46" s="54" t="inlineStr">
        <is>
          <t>6</t>
        </is>
      </c>
      <c r="G46" s="54" t="inlineStr">
        <is>
          <t>0</t>
        </is>
      </c>
      <c r="H46" s="54" t="inlineStr">
        <is>
          <t>Uncommon</t>
        </is>
      </c>
      <c r="I46" s="54" t="inlineStr"/>
      <c r="J46" s="7" t="inlineStr">
        <is>
          <t>Deal 6 to each of up to two units.</t>
        </is>
      </c>
      <c r="K46" s="710" t="n"/>
    </row>
    <row r="47" ht="15" customHeight="1">
      <c r="A47" s="54" t="inlineStr">
        <is>
          <t>OGN-106</t>
        </is>
      </c>
      <c r="B47" s="54" t="n">
        <v>1</v>
      </c>
      <c r="C47" s="54" t="inlineStr">
        <is>
          <t>Sprite Mother</t>
        </is>
      </c>
      <c r="D47" s="54" t="inlineStr">
        <is>
          <t>Mind</t>
        </is>
      </c>
      <c r="E47" s="54" t="inlineStr">
        <is>
          <t>Unit</t>
        </is>
      </c>
      <c r="F47" s="54" t="inlineStr">
        <is>
          <t>4</t>
        </is>
      </c>
      <c r="G47" s="54" t="inlineStr">
        <is>
          <t>3</t>
        </is>
      </c>
      <c r="H47" s="54" t="inlineStr">
        <is>
          <t>Uncommon</t>
        </is>
      </c>
      <c r="I47" s="54" t="inlineStr">
        <is>
          <t>Fae</t>
        </is>
      </c>
      <c r="J47" s="7" t="inlineStr">
        <is>
          <t>When you play me, play a ready 3 Might Sprite unit token with TEMPORARY here. (Kill it at the start of its controller's Beginning Phase, before scoring.)</t>
        </is>
      </c>
      <c r="K47" s="667" t="n"/>
    </row>
    <row r="48" ht="15" customHeight="1">
      <c r="A48" s="54" t="inlineStr">
        <is>
          <t>OGN-111</t>
        </is>
      </c>
      <c r="B48" s="54" t="n">
        <v>1</v>
      </c>
      <c r="C48" s="54" t="inlineStr">
        <is>
          <t>Heimerdinger - Inventor</t>
        </is>
      </c>
      <c r="D48" s="54" t="inlineStr">
        <is>
          <t>Mind</t>
        </is>
      </c>
      <c r="E48" s="54" t="inlineStr">
        <is>
          <t>Champion Unit</t>
        </is>
      </c>
      <c r="F48" s="54" t="inlineStr">
        <is>
          <t>3</t>
        </is>
      </c>
      <c r="G48" s="54" t="inlineStr">
        <is>
          <t>3</t>
        </is>
      </c>
      <c r="H48" s="54" t="inlineStr">
        <is>
          <t>Rare</t>
        </is>
      </c>
      <c r="I48" s="54" t="inlineStr">
        <is>
          <t>Heimerdinger;Piltover;Yordle</t>
        </is>
      </c>
      <c r="J48" s="7" t="inlineStr">
        <is>
          <t>I have all exhaust abilities of all friendly legends, units and gear.</t>
        </is>
      </c>
      <c r="K48" s="667" t="n"/>
    </row>
    <row r="49" ht="15" customHeight="1">
      <c r="A49" s="54" t="inlineStr">
        <is>
          <t>OGN-113</t>
        </is>
      </c>
      <c r="B49" s="54" t="n">
        <v>1</v>
      </c>
      <c r="C49" s="54" t="inlineStr">
        <is>
          <t>Malzahar - Fanatic</t>
        </is>
      </c>
      <c r="D49" s="54" t="inlineStr">
        <is>
          <t>Mind</t>
        </is>
      </c>
      <c r="E49" s="54" t="inlineStr">
        <is>
          <t>Champion Unit</t>
        </is>
      </c>
      <c r="F49" s="54" t="inlineStr">
        <is>
          <t>4</t>
        </is>
      </c>
      <c r="G49" s="54" t="inlineStr">
        <is>
          <t>3</t>
        </is>
      </c>
      <c r="H49" s="54" t="inlineStr">
        <is>
          <t>Rare</t>
        </is>
      </c>
      <c r="I49" s="54" t="inlineStr">
        <is>
          <t>Malzahar;The Void</t>
        </is>
      </c>
      <c r="J49" s="7" t="inlineStr">
        <is>
          <t>Kill a friend unit or gear, exhaust : ACTION - ADD rune rune. (Use on your turn or in showdowns. Abilities that add resources can't be reacted to.)</t>
        </is>
      </c>
      <c r="K49" s="667" t="n"/>
    </row>
    <row r="50" ht="15" customHeight="1">
      <c r="A50" s="54" t="inlineStr">
        <is>
          <t>OGN-117</t>
        </is>
      </c>
      <c r="B50" s="54" t="n">
        <v>1</v>
      </c>
      <c r="C50" s="54" t="inlineStr">
        <is>
          <t>Viktor - Innovator</t>
        </is>
      </c>
      <c r="D50" s="54" t="inlineStr">
        <is>
          <t>Mind</t>
        </is>
      </c>
      <c r="E50" s="54" t="inlineStr">
        <is>
          <t>Champion Unit</t>
        </is>
      </c>
      <c r="F50" s="54" t="inlineStr">
        <is>
          <t>4</t>
        </is>
      </c>
      <c r="G50" s="54" t="inlineStr">
        <is>
          <t>3</t>
        </is>
      </c>
      <c r="H50" s="54" t="inlineStr">
        <is>
          <t>Rare</t>
        </is>
      </c>
      <c r="I50" s="54" t="inlineStr">
        <is>
          <t>Viktor;Zaun</t>
        </is>
      </c>
      <c r="J50" s="7" t="inlineStr">
        <is>
          <t>When you play a card on an opponent's turn, play a 1 Might Recruit unit token in your base.</t>
        </is>
      </c>
      <c r="K50" s="667" t="n"/>
    </row>
    <row r="51" ht="15" customHeight="1">
      <c r="A51" s="54" t="inlineStr">
        <is>
          <t>OGN-118</t>
        </is>
      </c>
      <c r="B51" s="54" t="n">
        <v>1</v>
      </c>
      <c r="C51" s="54" t="inlineStr">
        <is>
          <t>Wraith of Echoes</t>
        </is>
      </c>
      <c r="D51" s="54" t="inlineStr">
        <is>
          <t>Mind</t>
        </is>
      </c>
      <c r="E51" s="54" t="inlineStr">
        <is>
          <t>Unit</t>
        </is>
      </c>
      <c r="F51" s="54" t="inlineStr">
        <is>
          <t>6</t>
        </is>
      </c>
      <c r="G51" s="54" t="inlineStr">
        <is>
          <t>5</t>
        </is>
      </c>
      <c r="H51" s="54" t="inlineStr">
        <is>
          <t>Rare</t>
        </is>
      </c>
      <c r="I51" s="54" t="inlineStr">
        <is>
          <t>Shadow Isles;Spirit</t>
        </is>
      </c>
      <c r="J51" s="7" t="inlineStr">
        <is>
          <t>The first time a friendly unit dies each turn, draw 1.</t>
        </is>
      </c>
      <c r="K51" s="667" t="n"/>
    </row>
    <row r="52" ht="15" customHeight="1">
      <c r="A52" s="54" t="inlineStr">
        <is>
          <t>OGN-119</t>
        </is>
      </c>
      <c r="B52" s="54" t="n">
        <v>1</v>
      </c>
      <c r="C52" s="54" t="inlineStr">
        <is>
          <t>Ahri - Inquisitive</t>
        </is>
      </c>
      <c r="D52" s="54" t="inlineStr">
        <is>
          <t>Mind</t>
        </is>
      </c>
      <c r="E52" s="54" t="inlineStr">
        <is>
          <t>Champion Unit</t>
        </is>
      </c>
      <c r="F52" s="54" t="inlineStr">
        <is>
          <t>3</t>
        </is>
      </c>
      <c r="G52" s="54" t="inlineStr">
        <is>
          <t>3</t>
        </is>
      </c>
      <c r="H52" s="54" t="inlineStr">
        <is>
          <t>Epic</t>
        </is>
      </c>
      <c r="I52" s="54" t="inlineStr">
        <is>
          <t>Ahri;Ionia</t>
        </is>
      </c>
      <c r="J52" s="7" t="inlineStr">
        <is>
          <t>When I attack or defend, give an enemy unit here -2 Might this turn, to a minimum of 1 Might.</t>
        </is>
      </c>
      <c r="K52" s="667" t="n"/>
    </row>
    <row r="53" ht="15" customHeight="1">
      <c r="A53" s="59" t="inlineStr">
        <is>
          <t>OGN-125</t>
        </is>
      </c>
      <c r="B53" s="59" t="n">
        <v>3</v>
      </c>
      <c r="C53" s="59" t="inlineStr">
        <is>
          <t>Bilgewater Bully</t>
        </is>
      </c>
      <c r="D53" s="59" t="inlineStr">
        <is>
          <t>Body</t>
        </is>
      </c>
      <c r="E53" s="59" t="inlineStr">
        <is>
          <t>Unit</t>
        </is>
      </c>
      <c r="F53" s="59" t="inlineStr">
        <is>
          <t>6</t>
        </is>
      </c>
      <c r="G53" s="59" t="inlineStr">
        <is>
          <t>6</t>
        </is>
      </c>
      <c r="H53" s="59" t="inlineStr">
        <is>
          <t>Common</t>
        </is>
      </c>
      <c r="I53" s="59" t="inlineStr">
        <is>
          <t>Bilgewater</t>
        </is>
      </c>
      <c r="J53" s="9" t="inlineStr">
        <is>
          <t>While I'm buffed, I have GANKING. (I can move from battlefield to battlefield.)</t>
        </is>
      </c>
      <c r="K53" s="428" t="inlineStr">
        <is>
          <t>MF(3)</t>
        </is>
      </c>
    </row>
    <row r="54" ht="15" customHeight="1">
      <c r="A54" s="59" t="inlineStr">
        <is>
          <t>OGN-128</t>
        </is>
      </c>
      <c r="B54" s="59" t="n">
        <v>3</v>
      </c>
      <c r="C54" s="59" t="inlineStr">
        <is>
          <t>Challenge</t>
        </is>
      </c>
      <c r="D54" s="59" t="inlineStr">
        <is>
          <t>Body</t>
        </is>
      </c>
      <c r="E54" s="59" t="inlineStr">
        <is>
          <t>Spell</t>
        </is>
      </c>
      <c r="F54" s="59" t="inlineStr">
        <is>
          <t>2</t>
        </is>
      </c>
      <c r="G54" s="59" t="inlineStr">
        <is>
          <t>0</t>
        </is>
      </c>
      <c r="H54" s="59" t="inlineStr">
        <is>
          <t>Common</t>
        </is>
      </c>
      <c r="I54" s="59" t="inlineStr"/>
      <c r="J54" s="9" t="inlineStr">
        <is>
          <t>ACTION (Play on your turn or in showdowns.)Choose a friendly unit and an enemy unit. They deal damage equal to their Mights to each other.</t>
        </is>
      </c>
      <c r="K54" s="428" t="inlineStr">
        <is>
          <t>Voli SB(2)</t>
        </is>
      </c>
    </row>
    <row r="55" ht="15" customHeight="1">
      <c r="A55" s="59" t="inlineStr">
        <is>
          <t>OGN-129</t>
        </is>
      </c>
      <c r="B55" s="59" t="n">
        <v>3</v>
      </c>
      <c r="C55" s="59" t="inlineStr">
        <is>
          <t>Confront</t>
        </is>
      </c>
      <c r="D55" s="59" t="inlineStr">
        <is>
          <t>Body</t>
        </is>
      </c>
      <c r="E55" s="59" t="inlineStr">
        <is>
          <t>Spell</t>
        </is>
      </c>
      <c r="F55" s="59" t="inlineStr">
        <is>
          <t>2</t>
        </is>
      </c>
      <c r="G55" s="59" t="inlineStr">
        <is>
          <t>0</t>
        </is>
      </c>
      <c r="H55" s="59" t="inlineStr">
        <is>
          <t>Common</t>
        </is>
      </c>
      <c r="I55" s="59" t="inlineStr"/>
      <c r="J55" s="9" t="inlineStr">
        <is>
          <t>ACTION (Play on your turn or in showdowns.)
Units you play this turn enter ready.
Draw 1.</t>
        </is>
      </c>
      <c r="K55" s="428" t="inlineStr">
        <is>
          <t>Voli(3)</t>
        </is>
      </c>
    </row>
    <row r="56" ht="15" customHeight="1">
      <c r="A56" s="59" t="inlineStr">
        <is>
          <t>OGN-131</t>
        </is>
      </c>
      <c r="B56" s="59" t="n">
        <v>3</v>
      </c>
      <c r="C56" s="59" t="inlineStr">
        <is>
          <t>Dune Drake</t>
        </is>
      </c>
      <c r="D56" s="59" t="inlineStr">
        <is>
          <t>Body</t>
        </is>
      </c>
      <c r="E56" s="59" t="inlineStr">
        <is>
          <t>Unit</t>
        </is>
      </c>
      <c r="F56" s="59" t="inlineStr">
        <is>
          <t>5</t>
        </is>
      </c>
      <c r="G56" s="59" t="inlineStr">
        <is>
          <t>5</t>
        </is>
      </c>
      <c r="H56" s="59" t="inlineStr">
        <is>
          <t>Common</t>
        </is>
      </c>
      <c r="I56" s="59" t="inlineStr">
        <is>
          <t>Dragon;Shurima</t>
        </is>
      </c>
      <c r="J56" s="9" t="inlineStr">
        <is>
          <t>When I attack, give me +2 Might if there is a ready enemy unit here.</t>
        </is>
      </c>
      <c r="K56" s="428" t="inlineStr">
        <is>
          <t>Voli(3)</t>
        </is>
      </c>
    </row>
    <row r="57" ht="15" customHeight="1">
      <c r="A57" s="59" t="inlineStr">
        <is>
          <t>OGN-132</t>
        </is>
      </c>
      <c r="B57" s="59" t="n">
        <v>3</v>
      </c>
      <c r="C57" s="59" t="inlineStr">
        <is>
          <t>First Mate</t>
        </is>
      </c>
      <c r="D57" s="59" t="inlineStr">
        <is>
          <t>Body</t>
        </is>
      </c>
      <c r="E57" s="59" t="inlineStr">
        <is>
          <t>Unit</t>
        </is>
      </c>
      <c r="F57" s="59" t="inlineStr">
        <is>
          <t>3</t>
        </is>
      </c>
      <c r="G57" s="59" t="inlineStr">
        <is>
          <t>3</t>
        </is>
      </c>
      <c r="H57" s="59" t="inlineStr">
        <is>
          <t>Common</t>
        </is>
      </c>
      <c r="I57" s="59" t="inlineStr">
        <is>
          <t>Bilgewater;Pirate</t>
        </is>
      </c>
      <c r="J57" s="9" t="inlineStr">
        <is>
          <t>When you play me, ready another unit.</t>
        </is>
      </c>
      <c r="K57" s="667" t="n"/>
    </row>
    <row r="58" ht="15" customHeight="1">
      <c r="A58" s="59" t="inlineStr">
        <is>
          <t>OGN-134</t>
        </is>
      </c>
      <c r="B58" s="59" t="n">
        <v>3</v>
      </c>
      <c r="C58" s="59" t="inlineStr">
        <is>
          <t>Mobilize</t>
        </is>
      </c>
      <c r="D58" s="59" t="inlineStr">
        <is>
          <t>Body</t>
        </is>
      </c>
      <c r="E58" s="59" t="inlineStr">
        <is>
          <t>Spell</t>
        </is>
      </c>
      <c r="F58" s="59" t="inlineStr">
        <is>
          <t>2</t>
        </is>
      </c>
      <c r="G58" s="59" t="inlineStr">
        <is>
          <t>0</t>
        </is>
      </c>
      <c r="H58" s="59" t="inlineStr">
        <is>
          <t>Common</t>
        </is>
      </c>
      <c r="I58" s="59" t="inlineStr"/>
      <c r="J58" s="9" t="inlineStr">
        <is>
          <t>Channel 1 rune exhausted. If you can't, draw 1.</t>
        </is>
      </c>
      <c r="K58" s="428" t="inlineStr">
        <is>
          <t>Voli(3)</t>
        </is>
      </c>
    </row>
    <row r="59" ht="15" customHeight="1">
      <c r="A59" s="59" t="inlineStr">
        <is>
          <t>OGN-135</t>
        </is>
      </c>
      <c r="B59" s="59" t="n">
        <v>2</v>
      </c>
      <c r="C59" s="59" t="inlineStr">
        <is>
          <t>Pakaa Cub</t>
        </is>
      </c>
      <c r="D59" s="59" t="inlineStr">
        <is>
          <t>Body</t>
        </is>
      </c>
      <c r="E59" s="59" t="inlineStr">
        <is>
          <t>Unit</t>
        </is>
      </c>
      <c r="F59" s="59" t="inlineStr">
        <is>
          <t>3</t>
        </is>
      </c>
      <c r="G59" s="59" t="inlineStr">
        <is>
          <t>3</t>
        </is>
      </c>
      <c r="H59" s="59" t="inlineStr">
        <is>
          <t>Common</t>
        </is>
      </c>
      <c r="I59" s="59" t="inlineStr">
        <is>
          <t>Cat;Ixtal</t>
        </is>
      </c>
      <c r="J59" s="9" t="inlineStr">
        <is>
          <t>HIDDEN (Hide now for 1 Rune to react with later for 0.)</t>
        </is>
      </c>
      <c r="K59" s="667" t="n"/>
    </row>
    <row r="60" ht="15" customHeight="1">
      <c r="A60" s="59" t="inlineStr">
        <is>
          <t>OGN-136</t>
        </is>
      </c>
      <c r="B60" s="59" t="n">
        <v>3</v>
      </c>
      <c r="C60" s="59" t="inlineStr">
        <is>
          <t>Pit Rookie</t>
        </is>
      </c>
      <c r="D60" s="59" t="inlineStr">
        <is>
          <t>Body</t>
        </is>
      </c>
      <c r="E60" s="59" t="inlineStr">
        <is>
          <t>Unit</t>
        </is>
      </c>
      <c r="F60" s="59" t="inlineStr">
        <is>
          <t>2</t>
        </is>
      </c>
      <c r="G60" s="59" t="inlineStr">
        <is>
          <t>2</t>
        </is>
      </c>
      <c r="H60" s="59" t="inlineStr">
        <is>
          <t>Common</t>
        </is>
      </c>
      <c r="I60" s="59" t="inlineStr">
        <is>
          <t>Bilgewater</t>
        </is>
      </c>
      <c r="J60" s="9" t="inlineStr">
        <is>
          <t>When you play me, buff another friendly unit. (If it doesn't have a buff, it gets +1 Might buff.)</t>
        </is>
      </c>
      <c r="K60" s="428" t="inlineStr">
        <is>
          <t>MF(2)</t>
        </is>
      </c>
    </row>
    <row r="61" ht="15" customHeight="1">
      <c r="A61" s="59" t="inlineStr">
        <is>
          <t>OGN-137</t>
        </is>
      </c>
      <c r="B61" s="59" t="n">
        <v>3</v>
      </c>
      <c r="C61" s="59" t="inlineStr">
        <is>
          <t>Stormclaw Ursine</t>
        </is>
      </c>
      <c r="D61" s="59" t="inlineStr">
        <is>
          <t>Body</t>
        </is>
      </c>
      <c r="E61" s="59" t="inlineStr">
        <is>
          <t>Unit</t>
        </is>
      </c>
      <c r="F61" s="59" t="inlineStr">
        <is>
          <t>7</t>
        </is>
      </c>
      <c r="G61" s="59" t="inlineStr">
        <is>
          <t>6</t>
        </is>
      </c>
      <c r="H61" s="59" t="inlineStr">
        <is>
          <t>Common</t>
        </is>
      </c>
      <c r="I61" s="59" t="inlineStr">
        <is>
          <t>Freljord</t>
        </is>
      </c>
      <c r="J61" s="9" t="inlineStr">
        <is>
          <t>TANK (I must be assigned combat damage first.)
When you play me, channel 1 rune exhausted.</t>
        </is>
      </c>
      <c r="K61" s="667" t="n"/>
    </row>
    <row r="62" ht="15" customHeight="1">
      <c r="A62" s="59" t="inlineStr">
        <is>
          <t>OGN-138</t>
        </is>
      </c>
      <c r="B62" s="59" t="n">
        <v>3</v>
      </c>
      <c r="C62" s="59" t="inlineStr">
        <is>
          <t>Catalyst of Aeons</t>
        </is>
      </c>
      <c r="D62" s="59" t="inlineStr">
        <is>
          <t>Body</t>
        </is>
      </c>
      <c r="E62" s="59" t="inlineStr">
        <is>
          <t>Spell</t>
        </is>
      </c>
      <c r="F62" s="59" t="inlineStr">
        <is>
          <t>4</t>
        </is>
      </c>
      <c r="G62" s="59" t="inlineStr">
        <is>
          <t>0</t>
        </is>
      </c>
      <c r="H62" s="59" t="inlineStr">
        <is>
          <t>Uncommon</t>
        </is>
      </c>
      <c r="I62" s="59" t="inlineStr"/>
      <c r="J62" s="9" t="inlineStr">
        <is>
          <t>Channel 2 runes exhausted. If you couldn't channel 2 runes this way, draw 1.</t>
        </is>
      </c>
      <c r="K62" s="428" t="inlineStr">
        <is>
          <t>Voli(3)</t>
        </is>
      </c>
    </row>
    <row r="63" ht="15" customHeight="1">
      <c r="A63" s="59" t="inlineStr">
        <is>
          <t>OGN-140</t>
        </is>
      </c>
      <c r="B63" s="59" t="n">
        <v>3</v>
      </c>
      <c r="C63" s="59" t="inlineStr">
        <is>
          <t>Herald of Scales</t>
        </is>
      </c>
      <c r="D63" s="59" t="inlineStr">
        <is>
          <t>Body</t>
        </is>
      </c>
      <c r="E63" s="59" t="inlineStr">
        <is>
          <t>Unit</t>
        </is>
      </c>
      <c r="F63" s="59" t="inlineStr">
        <is>
          <t>4</t>
        </is>
      </c>
      <c r="G63" s="59" t="inlineStr">
        <is>
          <t>3</t>
        </is>
      </c>
      <c r="H63" s="59" t="inlineStr">
        <is>
          <t>Uncommon</t>
        </is>
      </c>
      <c r="I63" s="59" t="inlineStr">
        <is>
          <t>Mount Targon</t>
        </is>
      </c>
      <c r="J63" s="9" t="inlineStr">
        <is>
          <t>Your Dragons' Energy costs are reduced by 2, to a minimum of 1.</t>
        </is>
      </c>
      <c r="K63" s="428" t="inlineStr">
        <is>
          <t>Voli(3)</t>
        </is>
      </c>
    </row>
    <row r="64" ht="15" customHeight="1">
      <c r="A64" s="59" t="inlineStr">
        <is>
          <t>OGN-142</t>
        </is>
      </c>
      <c r="B64" s="59" t="n">
        <v>3</v>
      </c>
      <c r="C64" s="59" t="inlineStr">
        <is>
          <t>Mountain Drake</t>
        </is>
      </c>
      <c r="D64" s="59" t="inlineStr">
        <is>
          <t>Body</t>
        </is>
      </c>
      <c r="E64" s="59" t="inlineStr">
        <is>
          <t>Unit</t>
        </is>
      </c>
      <c r="F64" s="59" t="inlineStr">
        <is>
          <t>9</t>
        </is>
      </c>
      <c r="G64" s="59" t="inlineStr">
        <is>
          <t>10</t>
        </is>
      </c>
      <c r="H64" s="59" t="inlineStr">
        <is>
          <t>Uncommon</t>
        </is>
      </c>
      <c r="I64" s="59" t="inlineStr">
        <is>
          <t>Dragon</t>
        </is>
      </c>
      <c r="J64" s="9" t="inlineStr"/>
      <c r="K64" s="667" t="n"/>
    </row>
    <row r="65" ht="15" customHeight="1">
      <c r="A65" s="59" t="inlineStr">
        <is>
          <t>OGN-144</t>
        </is>
      </c>
      <c r="B65" s="59" t="n">
        <v>1</v>
      </c>
      <c r="C65" s="59" t="inlineStr">
        <is>
          <t>Spoils of War</t>
        </is>
      </c>
      <c r="D65" s="59" t="inlineStr">
        <is>
          <t>Body</t>
        </is>
      </c>
      <c r="E65" s="59" t="inlineStr">
        <is>
          <t>Spell</t>
        </is>
      </c>
      <c r="F65" s="59" t="inlineStr">
        <is>
          <t>4</t>
        </is>
      </c>
      <c r="G65" s="59" t="inlineStr">
        <is>
          <t>0</t>
        </is>
      </c>
      <c r="H65" s="59" t="inlineStr">
        <is>
          <t>Uncommon</t>
        </is>
      </c>
      <c r="I65" s="59" t="inlineStr"/>
      <c r="J65" s="9" t="inlineStr">
        <is>
          <t>REACTION (Play any time, even before spells and abilities resolve.)
If an enemy unit has died this turn, this costs 2 less.
Draw 2.</t>
        </is>
      </c>
      <c r="K65" s="667" t="n"/>
    </row>
    <row r="66" ht="15" customHeight="1">
      <c r="A66" s="59" t="inlineStr">
        <is>
          <t>OGN-145</t>
        </is>
      </c>
      <c r="B66" s="59" t="n">
        <v>3</v>
      </c>
      <c r="C66" s="59" t="inlineStr">
        <is>
          <t>Unyielding Spirit</t>
        </is>
      </c>
      <c r="D66" s="59" t="inlineStr">
        <is>
          <t>Body</t>
        </is>
      </c>
      <c r="E66" s="59" t="inlineStr">
        <is>
          <t>Spell</t>
        </is>
      </c>
      <c r="F66" s="59" t="inlineStr">
        <is>
          <t>1</t>
        </is>
      </c>
      <c r="G66" s="59" t="inlineStr">
        <is>
          <t>0</t>
        </is>
      </c>
      <c r="H66" s="59" t="inlineStr">
        <is>
          <t>Uncommon</t>
        </is>
      </c>
      <c r="I66" s="59" t="inlineStr"/>
      <c r="J66" s="9" t="inlineStr">
        <is>
          <t>REACTION (Play at any time, even before spells and abilities resolve.)Prevent all spell and ability damage this turn.</t>
        </is>
      </c>
      <c r="K66" s="428" t="inlineStr">
        <is>
          <t>Voli SB(3)</t>
        </is>
      </c>
    </row>
    <row r="67" ht="15" customHeight="1">
      <c r="A67" s="59" t="inlineStr">
        <is>
          <t>OGN-146</t>
        </is>
      </c>
      <c r="B67" s="59" t="n">
        <v>2</v>
      </c>
      <c r="C67" s="59" t="inlineStr">
        <is>
          <t>Wallop</t>
        </is>
      </c>
      <c r="D67" s="59" t="inlineStr">
        <is>
          <t>Body</t>
        </is>
      </c>
      <c r="E67" s="59" t="inlineStr">
        <is>
          <t>Spell</t>
        </is>
      </c>
      <c r="F67" s="59" t="inlineStr">
        <is>
          <t>2</t>
        </is>
      </c>
      <c r="G67" s="59" t="inlineStr">
        <is>
          <t>0</t>
        </is>
      </c>
      <c r="H67" s="59" t="inlineStr">
        <is>
          <t>Uncommon</t>
        </is>
      </c>
      <c r="I67" s="59" t="inlineStr"/>
      <c r="J67" s="9" t="inlineStr">
        <is>
          <t>ACTION (Play on your turn or in showdowns.)
As you play this, you may spend a buff as an additional cost. If you do, ignore this spell's cost. Ready a unit.</t>
        </is>
      </c>
      <c r="K67" s="667" t="n"/>
    </row>
    <row r="68" ht="15" customHeight="1">
      <c r="A68" s="59" t="inlineStr">
        <is>
          <t>OGN-147</t>
        </is>
      </c>
      <c r="B68" s="59" t="n">
        <v>3</v>
      </c>
      <c r="C68" s="59" t="inlineStr">
        <is>
          <t>Wildclaw Shaman</t>
        </is>
      </c>
      <c r="D68" s="59" t="inlineStr">
        <is>
          <t>Body</t>
        </is>
      </c>
      <c r="E68" s="59" t="inlineStr">
        <is>
          <t>Unit</t>
        </is>
      </c>
      <c r="F68" s="59" t="inlineStr">
        <is>
          <t>4</t>
        </is>
      </c>
      <c r="G68" s="59" t="inlineStr">
        <is>
          <t>3</t>
        </is>
      </c>
      <c r="H68" s="59" t="inlineStr">
        <is>
          <t>Uncommon</t>
        </is>
      </c>
      <c r="I68" s="59" t="inlineStr">
        <is>
          <t>Freljord</t>
        </is>
      </c>
      <c r="J68" s="9" t="inlineStr">
        <is>
          <t>When you play me, you may spend a buff to buff me and ready me. (If I don't have a buff, I get a +1 Might buff.)</t>
        </is>
      </c>
      <c r="K68" s="667" t="n"/>
    </row>
    <row r="69" ht="15" customHeight="1">
      <c r="A69" s="59" t="inlineStr">
        <is>
          <t>OGN-148</t>
        </is>
      </c>
      <c r="B69" s="59" t="n">
        <v>3</v>
      </c>
      <c r="C69" s="59" t="inlineStr">
        <is>
          <t>Anivia - Primal</t>
        </is>
      </c>
      <c r="D69" s="59" t="inlineStr">
        <is>
          <t>Body</t>
        </is>
      </c>
      <c r="E69" s="59" t="inlineStr">
        <is>
          <t>Champion Unit</t>
        </is>
      </c>
      <c r="F69" s="59" t="inlineStr">
        <is>
          <t>7</t>
        </is>
      </c>
      <c r="G69" s="59" t="inlineStr">
        <is>
          <t>8</t>
        </is>
      </c>
      <c r="H69" s="59" t="inlineStr">
        <is>
          <t>Rare</t>
        </is>
      </c>
      <c r="I69" s="59" t="inlineStr">
        <is>
          <t>Bird;Anivia;Freljord</t>
        </is>
      </c>
      <c r="J69" s="9" t="inlineStr">
        <is>
          <t>When I attack, deal 3 to all enemy units here.</t>
        </is>
      </c>
      <c r="K69" s="428" t="inlineStr">
        <is>
          <t>MF SB(3)</t>
        </is>
      </c>
    </row>
    <row r="70" ht="15" customHeight="1">
      <c r="A70" s="59" t="inlineStr">
        <is>
          <t>OGN-149</t>
        </is>
      </c>
      <c r="B70" s="59" t="n">
        <v>1</v>
      </c>
      <c r="C70" s="59" t="inlineStr">
        <is>
          <t>Carnivorous Snapvine</t>
        </is>
      </c>
      <c r="D70" s="59" t="inlineStr">
        <is>
          <t>Body</t>
        </is>
      </c>
      <c r="E70" s="59" t="inlineStr">
        <is>
          <t>Unit</t>
        </is>
      </c>
      <c r="F70" s="59" t="inlineStr">
        <is>
          <t>5</t>
        </is>
      </c>
      <c r="G70" s="59" t="inlineStr">
        <is>
          <t>6</t>
        </is>
      </c>
      <c r="H70" s="59" t="inlineStr">
        <is>
          <t>Rare</t>
        </is>
      </c>
      <c r="I70" s="59" t="inlineStr">
        <is>
          <t>Shadow Isles</t>
        </is>
      </c>
      <c r="J70" s="9" t="inlineStr">
        <is>
          <t>When you play me, choose an enemy unit at a battlefield. We deal damage equal to our Mights to each other.</t>
        </is>
      </c>
      <c r="K70" s="667" t="n"/>
    </row>
    <row r="71" ht="15" customHeight="1">
      <c r="A71" s="59" t="inlineStr">
        <is>
          <t>OGN-151</t>
        </is>
      </c>
      <c r="B71" s="59" t="n">
        <v>1</v>
      </c>
      <c r="C71" s="59" t="inlineStr">
        <is>
          <t>Lee Sin - Centered</t>
        </is>
      </c>
      <c r="D71" s="59" t="inlineStr">
        <is>
          <t>Body</t>
        </is>
      </c>
      <c r="E71" s="59" t="inlineStr">
        <is>
          <t>Champion Unit</t>
        </is>
      </c>
      <c r="F71" s="59" t="inlineStr">
        <is>
          <t>6</t>
        </is>
      </c>
      <c r="G71" s="59" t="inlineStr">
        <is>
          <t>6</t>
        </is>
      </c>
      <c r="H71" s="59" t="inlineStr">
        <is>
          <t>Rare</t>
        </is>
      </c>
      <c r="I71" s="59" t="inlineStr">
        <is>
          <t>Ionia;Lee Sin</t>
        </is>
      </c>
      <c r="J71" s="9" t="inlineStr">
        <is>
          <t>ACCELERATE (You may pay 1 body as an additional cost to have me enter ready.)Other buffed friendly units at my battlefield have +2 Might.</t>
        </is>
      </c>
      <c r="K71" s="667" t="n"/>
    </row>
    <row r="72" ht="15" customHeight="1">
      <c r="A72" s="59" t="inlineStr">
        <is>
          <t>OGN-152</t>
        </is>
      </c>
      <c r="B72" s="59" t="n">
        <v>1</v>
      </c>
      <c r="C72" s="59" t="inlineStr">
        <is>
          <t>Mistfall</t>
        </is>
      </c>
      <c r="D72" s="59" t="inlineStr">
        <is>
          <t>Body</t>
        </is>
      </c>
      <c r="E72" s="59" t="inlineStr">
        <is>
          <t>Gear</t>
        </is>
      </c>
      <c r="F72" s="59" t="inlineStr">
        <is>
          <t>3</t>
        </is>
      </c>
      <c r="G72" s="59" t="inlineStr">
        <is>
          <t>0</t>
        </is>
      </c>
      <c r="H72" s="59" t="inlineStr">
        <is>
          <t>Rare</t>
        </is>
      </c>
      <c r="I72" s="59" t="inlineStr"/>
      <c r="J72" s="9" t="inlineStr">
        <is>
          <t>When you buff a friendly unit, you may pay body and exhaust this to ready it.</t>
        </is>
      </c>
      <c r="K72" s="667" t="n"/>
    </row>
    <row r="73" ht="15" customHeight="1">
      <c r="A73" s="59" t="inlineStr">
        <is>
          <t>OGN-153</t>
        </is>
      </c>
      <c r="B73" s="59" t="n">
        <v>3</v>
      </c>
      <c r="C73" s="59" t="inlineStr">
        <is>
          <t>Overt Operation</t>
        </is>
      </c>
      <c r="D73" s="59" t="inlineStr">
        <is>
          <t>Body</t>
        </is>
      </c>
      <c r="E73" s="59" t="inlineStr">
        <is>
          <t>Spell</t>
        </is>
      </c>
      <c r="F73" s="59" t="inlineStr">
        <is>
          <t>5</t>
        </is>
      </c>
      <c r="G73" s="59" t="inlineStr">
        <is>
          <t>0</t>
        </is>
      </c>
      <c r="H73" s="59" t="inlineStr">
        <is>
          <t>Rare</t>
        </is>
      </c>
      <c r="I73" s="59" t="inlineStr"/>
      <c r="J73" s="9" t="inlineStr">
        <is>
          <t>ACTION (play on your turn or in showdowns.)
For each friendly unit, you may spend its buff to ready it. Then buff all friendly units. (Each one that doesn't have a buff gets a +1 Might buff.)</t>
        </is>
      </c>
      <c r="K73" s="667" t="n"/>
    </row>
    <row r="74" ht="15" customHeight="1">
      <c r="A74" s="59" t="inlineStr">
        <is>
          <t>OGN-154</t>
        </is>
      </c>
      <c r="B74" s="59" t="n">
        <v>1</v>
      </c>
      <c r="C74" s="59" t="inlineStr">
        <is>
          <t>Primal Strength</t>
        </is>
      </c>
      <c r="D74" s="59" t="inlineStr">
        <is>
          <t>Body</t>
        </is>
      </c>
      <c r="E74" s="59" t="inlineStr">
        <is>
          <t>Spell</t>
        </is>
      </c>
      <c r="F74" s="59" t="inlineStr">
        <is>
          <t>4</t>
        </is>
      </c>
      <c r="G74" s="59" t="inlineStr">
        <is>
          <t>0</t>
        </is>
      </c>
      <c r="H74" s="59" t="inlineStr">
        <is>
          <t>Rare</t>
        </is>
      </c>
      <c r="I74" s="59" t="inlineStr"/>
      <c r="J74" s="9" t="inlineStr">
        <is>
          <t>ACTION (Play on your turn or in showdowns.)
Give a unit +7 Might this turn.</t>
        </is>
      </c>
      <c r="K74" s="667" t="n"/>
    </row>
    <row r="75" ht="15" customHeight="1">
      <c r="A75" s="59" t="inlineStr">
        <is>
          <t>OGN-157</t>
        </is>
      </c>
      <c r="B75" s="59" t="n">
        <v>3</v>
      </c>
      <c r="C75" s="59" t="inlineStr">
        <is>
          <t>Udyr - Wildman</t>
        </is>
      </c>
      <c r="D75" s="59" t="inlineStr">
        <is>
          <t>Body</t>
        </is>
      </c>
      <c r="E75" s="59" t="inlineStr">
        <is>
          <t>Champion Unit</t>
        </is>
      </c>
      <c r="F75" s="59" t="inlineStr">
        <is>
          <t>6</t>
        </is>
      </c>
      <c r="G75" s="59" t="inlineStr">
        <is>
          <t>6</t>
        </is>
      </c>
      <c r="H75" s="59" t="inlineStr">
        <is>
          <t>Rare</t>
        </is>
      </c>
      <c r="I75" s="59" t="inlineStr">
        <is>
          <t>Freljord;Udyr</t>
        </is>
      </c>
      <c r="J75" s="9" t="inlineStr">
        <is>
          <t>Spend my buff: Choose one you've not chosen turn —•Deal 2 to a unit at a battlefield.•Stun a unit at a battlefield•Ready me.•Give me GANKING this turn.</t>
        </is>
      </c>
      <c r="K75" s="667" t="n"/>
    </row>
    <row r="76" ht="15" customHeight="1">
      <c r="A76" s="59" t="inlineStr">
        <is>
          <t>OGN-158</t>
        </is>
      </c>
      <c r="B76" s="59" t="n">
        <v>1</v>
      </c>
      <c r="C76" s="59" t="inlineStr">
        <is>
          <t>Volibear - Imposing</t>
        </is>
      </c>
      <c r="D76" s="59" t="inlineStr">
        <is>
          <t>Body</t>
        </is>
      </c>
      <c r="E76" s="59" t="inlineStr">
        <is>
          <t>Champion Unit</t>
        </is>
      </c>
      <c r="F76" s="59" t="inlineStr">
        <is>
          <t>12</t>
        </is>
      </c>
      <c r="G76" s="59" t="inlineStr">
        <is>
          <t>10</t>
        </is>
      </c>
      <c r="H76" s="59" t="inlineStr">
        <is>
          <t>Rare</t>
        </is>
      </c>
      <c r="I76" s="59" t="inlineStr">
        <is>
          <t>Freljord;Volibear</t>
        </is>
      </c>
      <c r="J76" s="9" t="inlineStr">
        <is>
          <t>SHIELD 3 (+3 Might while I'm a defender.)TANK (I must be assigned combat damage first.)When an opponent moves to a battlefield other than mine, draw 1. (Bases are not battlefields.)</t>
        </is>
      </c>
      <c r="K76" s="667" t="n"/>
    </row>
    <row r="77" ht="15" customHeight="1">
      <c r="A77" s="55" t="inlineStr">
        <is>
          <t>OGN-165</t>
        </is>
      </c>
      <c r="B77" s="55" t="n">
        <v>2</v>
      </c>
      <c r="C77" s="55" t="inlineStr">
        <is>
          <t>Cemetery Attendant</t>
        </is>
      </c>
      <c r="D77" s="55" t="inlineStr">
        <is>
          <t>Chaos</t>
        </is>
      </c>
      <c r="E77" s="55" t="inlineStr">
        <is>
          <t>Unit</t>
        </is>
      </c>
      <c r="F77" s="55" t="inlineStr">
        <is>
          <t>3</t>
        </is>
      </c>
      <c r="G77" s="55" t="inlineStr">
        <is>
          <t>3</t>
        </is>
      </c>
      <c r="H77" s="55" t="inlineStr">
        <is>
          <t>Common</t>
        </is>
      </c>
      <c r="I77" s="55" t="inlineStr">
        <is>
          <t>Dog;Shadow Isles</t>
        </is>
      </c>
      <c r="J77" s="11" t="inlineStr">
        <is>
          <t>When you play me, return a unit from your trash to your hand.</t>
        </is>
      </c>
      <c r="K77" s="667" t="n"/>
    </row>
    <row r="78" ht="15" customHeight="1">
      <c r="A78" s="55" t="inlineStr">
        <is>
          <t>OGN-167</t>
        </is>
      </c>
      <c r="B78" s="55" t="n">
        <v>2</v>
      </c>
      <c r="C78" s="55" t="inlineStr">
        <is>
          <t>Ember Monk</t>
        </is>
      </c>
      <c r="D78" s="55" t="inlineStr">
        <is>
          <t>Chaos</t>
        </is>
      </c>
      <c r="E78" s="55" t="inlineStr">
        <is>
          <t>Unit</t>
        </is>
      </c>
      <c r="F78" s="55" t="inlineStr">
        <is>
          <t>4</t>
        </is>
      </c>
      <c r="G78" s="55" t="inlineStr">
        <is>
          <t>4</t>
        </is>
      </c>
      <c r="H78" s="55" t="inlineStr">
        <is>
          <t>Common</t>
        </is>
      </c>
      <c r="I78" s="55" t="inlineStr">
        <is>
          <t>Bandle City</t>
        </is>
      </c>
      <c r="J78" s="11" t="inlineStr">
        <is>
          <t>When you play a card from HIDDEN, give me +2 Might this turn.</t>
        </is>
      </c>
      <c r="K78" s="710" t="n"/>
    </row>
    <row r="79" ht="15" customHeight="1">
      <c r="A79" s="55" t="inlineStr">
        <is>
          <t>OGN-168</t>
        </is>
      </c>
      <c r="B79" s="55" t="n">
        <v>3</v>
      </c>
      <c r="C79" s="55" t="inlineStr">
        <is>
          <t>Fight or Flight</t>
        </is>
      </c>
      <c r="D79" s="55" t="inlineStr">
        <is>
          <t>Chaos</t>
        </is>
      </c>
      <c r="E79" s="55" t="inlineStr">
        <is>
          <t>Spell</t>
        </is>
      </c>
      <c r="F79" s="55" t="inlineStr">
        <is>
          <t>2</t>
        </is>
      </c>
      <c r="G79" s="55" t="inlineStr">
        <is>
          <t>0</t>
        </is>
      </c>
      <c r="H79" s="55" t="inlineStr">
        <is>
          <t>Common</t>
        </is>
      </c>
      <c r="I79" s="55" t="inlineStr"/>
      <c r="J79" s="11" t="inlineStr">
        <is>
          <t>HIDDEN (Hide now for 1 Rune to react with later for 0.)
ACTION (Play on your turn or in showdowns.)
Move a unit from a battlefield to its base.</t>
        </is>
      </c>
      <c r="K79" s="428" t="inlineStr">
        <is>
          <t>MF(3)</t>
        </is>
      </c>
    </row>
    <row r="80" ht="15" customHeight="1">
      <c r="A80" s="55" t="inlineStr">
        <is>
          <t>OGN-169</t>
        </is>
      </c>
      <c r="B80" s="55" t="n">
        <v>3</v>
      </c>
      <c r="C80" s="55" t="inlineStr">
        <is>
          <t>Gust</t>
        </is>
      </c>
      <c r="D80" s="55" t="inlineStr">
        <is>
          <t>Chaos</t>
        </is>
      </c>
      <c r="E80" s="55" t="inlineStr">
        <is>
          <t>Spell</t>
        </is>
      </c>
      <c r="F80" s="55" t="inlineStr">
        <is>
          <t>1</t>
        </is>
      </c>
      <c r="G80" s="55" t="inlineStr">
        <is>
          <t>0</t>
        </is>
      </c>
      <c r="H80" s="55" t="inlineStr">
        <is>
          <t>Common</t>
        </is>
      </c>
      <c r="I80" s="55" t="inlineStr"/>
      <c r="J80" s="11" t="inlineStr">
        <is>
          <t>REACTION (Play any time, even before spells and abilities resolve.)
Return a unit at a battlefield with 3 Might or less to its owner's hand.</t>
        </is>
      </c>
      <c r="K80" s="428" t="inlineStr">
        <is>
          <t>MF SB(1)</t>
        </is>
      </c>
    </row>
    <row r="81" ht="15" customHeight="1">
      <c r="A81" s="55" t="inlineStr">
        <is>
          <t>OGN-175</t>
        </is>
      </c>
      <c r="B81" s="55" t="n">
        <v>1</v>
      </c>
      <c r="C81" s="55" t="inlineStr">
        <is>
          <t>Shipyard Skulker</t>
        </is>
      </c>
      <c r="D81" s="55" t="inlineStr">
        <is>
          <t>Chaos</t>
        </is>
      </c>
      <c r="E81" s="55" t="inlineStr">
        <is>
          <t>Unit</t>
        </is>
      </c>
      <c r="F81" s="55" t="inlineStr">
        <is>
          <t>3</t>
        </is>
      </c>
      <c r="G81" s="55" t="inlineStr">
        <is>
          <t>3</t>
        </is>
      </c>
      <c r="H81" s="55" t="inlineStr">
        <is>
          <t>Common</t>
        </is>
      </c>
      <c r="I81" s="55" t="inlineStr">
        <is>
          <t>Bilgewater;Pirate</t>
        </is>
      </c>
      <c r="J81" s="11" t="inlineStr"/>
      <c r="K81" s="667" t="n"/>
    </row>
    <row r="82" ht="15" customHeight="1">
      <c r="A82" s="55" t="inlineStr">
        <is>
          <t>OGN-176</t>
        </is>
      </c>
      <c r="B82" s="55" t="n">
        <v>1</v>
      </c>
      <c r="C82" s="55" t="inlineStr">
        <is>
          <t>Sneaky Deckhand</t>
        </is>
      </c>
      <c r="D82" s="55" t="inlineStr">
        <is>
          <t>Chaos</t>
        </is>
      </c>
      <c r="E82" s="55" t="inlineStr">
        <is>
          <t>Unit</t>
        </is>
      </c>
      <c r="F82" s="55" t="inlineStr">
        <is>
          <t>3</t>
        </is>
      </c>
      <c r="G82" s="55" t="inlineStr">
        <is>
          <t>2</t>
        </is>
      </c>
      <c r="H82" s="55" t="inlineStr">
        <is>
          <t>Common</t>
        </is>
      </c>
      <c r="I82" s="55" t="inlineStr">
        <is>
          <t>Bilgewater;Pirate</t>
        </is>
      </c>
      <c r="J82" s="11" t="inlineStr">
        <is>
          <t>You may play me to an open battlefield.</t>
        </is>
      </c>
      <c r="K82" s="667" t="n"/>
    </row>
    <row r="83" ht="15" customHeight="1">
      <c r="A83" s="55" t="inlineStr">
        <is>
          <t>OGN-178</t>
        </is>
      </c>
      <c r="B83" s="55" t="n">
        <v>2</v>
      </c>
      <c r="C83" s="55" t="inlineStr">
        <is>
          <t>Undercover Agent</t>
        </is>
      </c>
      <c r="D83" s="55" t="inlineStr">
        <is>
          <t>Chaos</t>
        </is>
      </c>
      <c r="E83" s="55" t="inlineStr">
        <is>
          <t>Unit</t>
        </is>
      </c>
      <c r="F83" s="55" t="inlineStr">
        <is>
          <t>5</t>
        </is>
      </c>
      <c r="G83" s="55" t="inlineStr">
        <is>
          <t>5</t>
        </is>
      </c>
      <c r="H83" s="55" t="inlineStr">
        <is>
          <t>Common</t>
        </is>
      </c>
      <c r="I83" s="55" t="inlineStr"/>
      <c r="J83" s="11" t="inlineStr">
        <is>
          <t>DEATHKNELL - Discard 2, then draw 2. (When I die, get the effect.)</t>
        </is>
      </c>
      <c r="K83" s="667" t="n"/>
    </row>
    <row r="84" ht="15" customHeight="1">
      <c r="A84" s="55" t="inlineStr">
        <is>
          <t>OGN-180</t>
        </is>
      </c>
      <c r="B84" s="55" t="n">
        <v>2</v>
      </c>
      <c r="C84" s="55" t="inlineStr">
        <is>
          <t>Fading Memories</t>
        </is>
      </c>
      <c r="D84" s="55" t="inlineStr">
        <is>
          <t>Chaos</t>
        </is>
      </c>
      <c r="E84" s="55" t="inlineStr">
        <is>
          <t>Spell</t>
        </is>
      </c>
      <c r="F84" s="55" t="inlineStr">
        <is>
          <t>4</t>
        </is>
      </c>
      <c r="G84" s="55" t="inlineStr">
        <is>
          <t>0</t>
        </is>
      </c>
      <c r="H84" s="55" t="inlineStr">
        <is>
          <t>Uncommon</t>
        </is>
      </c>
      <c r="I84" s="55" t="inlineStr"/>
      <c r="J84" s="11" t="inlineStr">
        <is>
          <t>Give a unit at a battlefield or a gear TEMPORARY. (Kill it at the start of its controller's Beginning Phase, before.)</t>
        </is>
      </c>
      <c r="K84" s="428" t="inlineStr">
        <is>
          <t>MF(1) | Draven SB(1)</t>
        </is>
      </c>
    </row>
    <row r="85" ht="15" customHeight="1">
      <c r="A85" s="55" t="inlineStr">
        <is>
          <t>OGN-182</t>
        </is>
      </c>
      <c r="B85" s="55" t="n">
        <v>3</v>
      </c>
      <c r="C85" s="55" t="inlineStr">
        <is>
          <t>Scrapheap</t>
        </is>
      </c>
      <c r="D85" s="55" t="inlineStr">
        <is>
          <t>Chaos</t>
        </is>
      </c>
      <c r="E85" s="55" t="inlineStr">
        <is>
          <t>Gear</t>
        </is>
      </c>
      <c r="F85" s="55" t="inlineStr">
        <is>
          <t>2</t>
        </is>
      </c>
      <c r="G85" s="55" t="inlineStr">
        <is>
          <t>0</t>
        </is>
      </c>
      <c r="H85" s="55" t="inlineStr">
        <is>
          <t>Uncommon</t>
        </is>
      </c>
      <c r="I85" s="55" t="inlineStr"/>
      <c r="J85" s="11" t="inlineStr">
        <is>
          <t>When this is played, discarded, or killed, draw 1.</t>
        </is>
      </c>
      <c r="K85" s="428" t="inlineStr">
        <is>
          <t>MF SB(3)</t>
        </is>
      </c>
    </row>
    <row r="86" ht="15" customHeight="1">
      <c r="A86" s="55" t="inlineStr">
        <is>
          <t>OGN-183</t>
        </is>
      </c>
      <c r="B86" s="55" t="n">
        <v>1</v>
      </c>
      <c r="C86" s="55" t="inlineStr">
        <is>
          <t>Stacked Deck</t>
        </is>
      </c>
      <c r="D86" s="55" t="inlineStr">
        <is>
          <t>Chaos</t>
        </is>
      </c>
      <c r="E86" s="55" t="inlineStr">
        <is>
          <t>Spell</t>
        </is>
      </c>
      <c r="F86" s="55" t="inlineStr">
        <is>
          <t>1</t>
        </is>
      </c>
      <c r="G86" s="55" t="inlineStr">
        <is>
          <t>0</t>
        </is>
      </c>
      <c r="H86" s="55" t="inlineStr">
        <is>
          <t>Uncommon</t>
        </is>
      </c>
      <c r="I86" s="55" t="inlineStr"/>
      <c r="J86" s="11" t="inlineStr">
        <is>
          <t>ACTION (Play on your turn or in showdowns.)Look at the top 3 cards of your Main Deck. Put 1 into your hand and recycle the rest.</t>
        </is>
      </c>
      <c r="K86" s="667" t="n"/>
    </row>
    <row r="87" ht="15" customHeight="1">
      <c r="A87" s="55" t="inlineStr">
        <is>
          <t>OGN-185</t>
        </is>
      </c>
      <c r="B87" s="55" t="n">
        <v>3</v>
      </c>
      <c r="C87" s="55" t="inlineStr">
        <is>
          <t>Traveling Merchant</t>
        </is>
      </c>
      <c r="D87" s="55" t="inlineStr">
        <is>
          <t>Chaos</t>
        </is>
      </c>
      <c r="E87" s="55" t="inlineStr">
        <is>
          <t>Unit</t>
        </is>
      </c>
      <c r="F87" s="55" t="inlineStr">
        <is>
          <t>2</t>
        </is>
      </c>
      <c r="G87" s="55" t="inlineStr">
        <is>
          <t>2</t>
        </is>
      </c>
      <c r="H87" s="55" t="inlineStr">
        <is>
          <t>Uncommon</t>
        </is>
      </c>
      <c r="I87" s="55" t="inlineStr">
        <is>
          <t>Bilgewater</t>
        </is>
      </c>
      <c r="J87" s="11" t="inlineStr">
        <is>
          <t>When I move, discard 1, then draw 1.</t>
        </is>
      </c>
      <c r="K87" s="428" t="inlineStr">
        <is>
          <t>Draven SB(2)</t>
        </is>
      </c>
    </row>
    <row r="88" ht="15" customHeight="1">
      <c r="A88" s="55" t="inlineStr">
        <is>
          <t>OGN-195</t>
        </is>
      </c>
      <c r="B88" s="55" t="n">
        <v>1</v>
      </c>
      <c r="C88" s="55" t="inlineStr">
        <is>
          <t>Rhasa the Sunderer</t>
        </is>
      </c>
      <c r="D88" s="55" t="inlineStr">
        <is>
          <t>Chaos</t>
        </is>
      </c>
      <c r="E88" s="55" t="inlineStr">
        <is>
          <t>Unit</t>
        </is>
      </c>
      <c r="F88" s="55" t="inlineStr">
        <is>
          <t>10</t>
        </is>
      </c>
      <c r="G88" s="55" t="inlineStr">
        <is>
          <t>6</t>
        </is>
      </c>
      <c r="H88" s="55" t="inlineStr">
        <is>
          <t>Rare</t>
        </is>
      </c>
      <c r="I88" s="55" t="inlineStr">
        <is>
          <t>Shadow Isles;Spirit</t>
        </is>
      </c>
      <c r="J88" s="11" t="inlineStr">
        <is>
          <t>I cost 1 less for each card in your trash.</t>
        </is>
      </c>
      <c r="K88" s="667" t="n"/>
    </row>
    <row r="89" ht="15" customHeight="1">
      <c r="A89" s="55" t="inlineStr">
        <is>
          <t>OGN-201</t>
        </is>
      </c>
      <c r="B89" s="55" t="n">
        <v>1</v>
      </c>
      <c r="C89" s="55" t="inlineStr">
        <is>
          <t>Invert Timelines</t>
        </is>
      </c>
      <c r="D89" s="55" t="inlineStr">
        <is>
          <t>Chaos</t>
        </is>
      </c>
      <c r="E89" s="55" t="inlineStr">
        <is>
          <t>Spell</t>
        </is>
      </c>
      <c r="F89" s="55" t="inlineStr">
        <is>
          <t>3</t>
        </is>
      </c>
      <c r="G89" s="55" t="inlineStr">
        <is>
          <t>0</t>
        </is>
      </c>
      <c r="H89" s="55" t="inlineStr">
        <is>
          <t>Epic</t>
        </is>
      </c>
      <c r="I89" s="55" t="inlineStr"/>
      <c r="J89" s="11" t="inlineStr">
        <is>
          <t>Each player discards their hand, then draws 4.</t>
        </is>
      </c>
      <c r="K89" s="428" t="inlineStr">
        <is>
          <t>MF SB(1)</t>
        </is>
      </c>
    </row>
    <row r="90" ht="15" customHeight="1">
      <c r="A90" s="58" t="inlineStr">
        <is>
          <t>OGN-206</t>
        </is>
      </c>
      <c r="B90" s="58" t="n">
        <v>3</v>
      </c>
      <c r="C90" s="58" t="inlineStr">
        <is>
          <t>Back to Back</t>
        </is>
      </c>
      <c r="D90" s="58" t="inlineStr">
        <is>
          <t>Order</t>
        </is>
      </c>
      <c r="E90" s="58" t="inlineStr">
        <is>
          <t>Spell</t>
        </is>
      </c>
      <c r="F90" s="58" t="inlineStr">
        <is>
          <t>3</t>
        </is>
      </c>
      <c r="G90" s="58" t="inlineStr">
        <is>
          <t>0</t>
        </is>
      </c>
      <c r="H90" s="58" t="inlineStr">
        <is>
          <t>Common</t>
        </is>
      </c>
      <c r="I90" s="58" t="inlineStr"/>
      <c r="J90" s="13" t="inlineStr">
        <is>
          <t>REACTION (Play any time, even before spells and abilities resolve.)
Give two friendly units each +2 Might this turn.</t>
        </is>
      </c>
      <c r="K90" s="667" t="n"/>
    </row>
    <row r="91" ht="15" customHeight="1">
      <c r="A91" s="58" t="inlineStr">
        <is>
          <t>OGN-207</t>
        </is>
      </c>
      <c r="B91" s="58" t="n">
        <v>1</v>
      </c>
      <c r="C91" s="58" t="inlineStr">
        <is>
          <t>Call to Glory</t>
        </is>
      </c>
      <c r="D91" s="58" t="inlineStr">
        <is>
          <t>Order</t>
        </is>
      </c>
      <c r="E91" s="58" t="inlineStr">
        <is>
          <t>Spell</t>
        </is>
      </c>
      <c r="F91" s="58" t="inlineStr">
        <is>
          <t>3</t>
        </is>
      </c>
      <c r="G91" s="58" t="inlineStr">
        <is>
          <t>0</t>
        </is>
      </c>
      <c r="H91" s="58" t="inlineStr">
        <is>
          <t>Common</t>
        </is>
      </c>
      <c r="I91" s="58" t="inlineStr"/>
      <c r="J91" s="13" t="inlineStr">
        <is>
          <t>REACTION (Play any time, even before spells and abilities resolve.)
As you play this, you may spend a buff as an additional cost. If you do, ignore this spell's cost.
Give a unit +3 Might this turn.</t>
        </is>
      </c>
      <c r="K91" s="667" t="n"/>
    </row>
    <row r="92" ht="15" customHeight="1">
      <c r="A92" s="58" t="inlineStr">
        <is>
          <t>OGN-208</t>
        </is>
      </c>
      <c r="B92" s="58" t="n">
        <v>3</v>
      </c>
      <c r="C92" s="58" t="inlineStr">
        <is>
          <t>Cruel Patron</t>
        </is>
      </c>
      <c r="D92" s="58" t="inlineStr">
        <is>
          <t>Order</t>
        </is>
      </c>
      <c r="E92" s="58" t="inlineStr">
        <is>
          <t>Unit</t>
        </is>
      </c>
      <c r="F92" s="58" t="inlineStr">
        <is>
          <t>4</t>
        </is>
      </c>
      <c r="G92" s="58" t="inlineStr">
        <is>
          <t>6</t>
        </is>
      </c>
      <c r="H92" s="58" t="inlineStr">
        <is>
          <t>Common</t>
        </is>
      </c>
      <c r="I92" s="58" t="inlineStr">
        <is>
          <t>Noxus</t>
        </is>
      </c>
      <c r="J92" s="13" t="inlineStr">
        <is>
          <t>As an additional cost to play me, kill a friendly unit.</t>
        </is>
      </c>
      <c r="K92" s="667" t="n"/>
    </row>
    <row r="93" ht="15" customHeight="1">
      <c r="A93" s="58" t="inlineStr">
        <is>
          <t>OGN-209</t>
        </is>
      </c>
      <c r="B93" s="58" t="n">
        <v>3</v>
      </c>
      <c r="C93" s="58" t="inlineStr">
        <is>
          <t>Cull the Weak</t>
        </is>
      </c>
      <c r="D93" s="58" t="inlineStr">
        <is>
          <t>Order</t>
        </is>
      </c>
      <c r="E93" s="58" t="inlineStr">
        <is>
          <t>Spell</t>
        </is>
      </c>
      <c r="F93" s="58" t="inlineStr">
        <is>
          <t>2</t>
        </is>
      </c>
      <c r="G93" s="58" t="inlineStr">
        <is>
          <t>0</t>
        </is>
      </c>
      <c r="H93" s="58" t="inlineStr">
        <is>
          <t>Common</t>
        </is>
      </c>
      <c r="I93" s="58" t="inlineStr"/>
      <c r="J93" s="13" t="inlineStr">
        <is>
          <t>Each player kills one of their units.</t>
        </is>
      </c>
      <c r="K93" s="428" t="inlineStr">
        <is>
          <t>Azir(2)</t>
        </is>
      </c>
    </row>
    <row r="94" ht="15" customHeight="1">
      <c r="A94" s="58" t="inlineStr">
        <is>
          <t>OGN-213</t>
        </is>
      </c>
      <c r="B94" s="58" t="n">
        <v>2</v>
      </c>
      <c r="C94" s="58" t="inlineStr">
        <is>
          <t>Hidden Blade</t>
        </is>
      </c>
      <c r="D94" s="58" t="inlineStr">
        <is>
          <t>Order</t>
        </is>
      </c>
      <c r="E94" s="58" t="inlineStr">
        <is>
          <t>Spell</t>
        </is>
      </c>
      <c r="F94" s="58" t="inlineStr">
        <is>
          <t>2</t>
        </is>
      </c>
      <c r="G94" s="58" t="inlineStr">
        <is>
          <t>0</t>
        </is>
      </c>
      <c r="H94" s="58" t="inlineStr">
        <is>
          <t>Common</t>
        </is>
      </c>
      <c r="I94" s="58" t="inlineStr"/>
      <c r="J94" s="13" t="inlineStr">
        <is>
          <t>HIDDEN (Hide now for 1 Rune to react with later for 0.)
ACTION (Play on your turn or in showdowns.)
Kill a unit at a battlefield. Its controller draws 2.</t>
        </is>
      </c>
      <c r="K94" s="428" t="inlineStr">
        <is>
          <t>Azir(2)</t>
        </is>
      </c>
    </row>
    <row r="95" ht="15" customHeight="1">
      <c r="A95" s="58" t="inlineStr">
        <is>
          <t>OGN-216</t>
        </is>
      </c>
      <c r="B95" s="58" t="n">
        <v>3</v>
      </c>
      <c r="C95" s="58" t="inlineStr">
        <is>
          <t>Soaring Scout</t>
        </is>
      </c>
      <c r="D95" s="58" t="inlineStr">
        <is>
          <t>Order</t>
        </is>
      </c>
      <c r="E95" s="58" t="inlineStr">
        <is>
          <t>Unit</t>
        </is>
      </c>
      <c r="F95" s="58" t="inlineStr">
        <is>
          <t>2</t>
        </is>
      </c>
      <c r="G95" s="58" t="inlineStr">
        <is>
          <t>1</t>
        </is>
      </c>
      <c r="H95" s="58" t="inlineStr">
        <is>
          <t>Common</t>
        </is>
      </c>
      <c r="I95" s="58" t="inlineStr">
        <is>
          <t>Bird;Freljord</t>
        </is>
      </c>
      <c r="J95" s="13" t="inlineStr">
        <is>
          <t>DEATHKNELL - Channel 1 rune exhausted. (When I die, get the effect.)</t>
        </is>
      </c>
      <c r="K95" s="667" t="n"/>
    </row>
    <row r="96" ht="15" customHeight="1">
      <c r="A96" s="58" t="inlineStr">
        <is>
          <t>OGN-220</t>
        </is>
      </c>
      <c r="B96" s="58" t="n">
        <v>1</v>
      </c>
      <c r="C96" s="58" t="inlineStr">
        <is>
          <t>Facebreaker</t>
        </is>
      </c>
      <c r="D96" s="58" t="inlineStr">
        <is>
          <t>Order</t>
        </is>
      </c>
      <c r="E96" s="58" t="inlineStr">
        <is>
          <t>Spell</t>
        </is>
      </c>
      <c r="F96" s="58" t="inlineStr">
        <is>
          <t>2</t>
        </is>
      </c>
      <c r="G96" s="58" t="inlineStr">
        <is>
          <t>0</t>
        </is>
      </c>
      <c r="H96" s="58" t="inlineStr">
        <is>
          <t>Uncommon</t>
        </is>
      </c>
      <c r="I96" s="58" t="inlineStr"/>
      <c r="J96" s="13" t="inlineStr">
        <is>
          <t>HIDDEN (Hide now for 1 Rune to react with later for 0.)
ACTION (Play on your turn or in showdowns.)
Stun a friendly unit and an enemy unit at the same battlefield. (They don't deal combat damage this turn.)</t>
        </is>
      </c>
      <c r="K96" s="667" t="n"/>
    </row>
    <row r="97" ht="15" customHeight="1">
      <c r="A97" s="58" t="inlineStr">
        <is>
          <t>OGN-222</t>
        </is>
      </c>
      <c r="B97" s="58" t="n">
        <v>3</v>
      </c>
      <c r="C97" s="58" t="inlineStr">
        <is>
          <t>Noxian Drummer</t>
        </is>
      </c>
      <c r="D97" s="58" t="inlineStr">
        <is>
          <t>Order</t>
        </is>
      </c>
      <c r="E97" s="58" t="inlineStr">
        <is>
          <t>Unit</t>
        </is>
      </c>
      <c r="F97" s="58" t="inlineStr">
        <is>
          <t>3</t>
        </is>
      </c>
      <c r="G97" s="58" t="inlineStr">
        <is>
          <t>3</t>
        </is>
      </c>
      <c r="H97" s="58" t="inlineStr">
        <is>
          <t>Uncommon</t>
        </is>
      </c>
      <c r="I97" s="58" t="inlineStr">
        <is>
          <t>Noxus;Trifarian</t>
        </is>
      </c>
      <c r="J97" s="13" t="inlineStr">
        <is>
          <t>When I move to a battlefield, play a 1 Might Recruit unit token here. (It is also at the battlefield.)</t>
        </is>
      </c>
      <c r="K97" s="667" t="n"/>
    </row>
    <row r="98" ht="15" customHeight="1">
      <c r="A98" s="58" t="inlineStr">
        <is>
          <t>OGN-226</t>
        </is>
      </c>
      <c r="B98" s="58" t="n">
        <v>3</v>
      </c>
      <c r="C98" s="58" t="inlineStr">
        <is>
          <t>Spectral Matron</t>
        </is>
      </c>
      <c r="D98" s="58" t="inlineStr">
        <is>
          <t>Order</t>
        </is>
      </c>
      <c r="E98" s="58" t="inlineStr">
        <is>
          <t>Unit</t>
        </is>
      </c>
      <c r="F98" s="58" t="inlineStr">
        <is>
          <t>4</t>
        </is>
      </c>
      <c r="G98" s="58" t="inlineStr">
        <is>
          <t>4</t>
        </is>
      </c>
      <c r="H98" s="58" t="inlineStr">
        <is>
          <t>Uncommon</t>
        </is>
      </c>
      <c r="I98" s="58" t="inlineStr">
        <is>
          <t>Shadow Isles;Spirit</t>
        </is>
      </c>
      <c r="J98" s="13" t="inlineStr">
        <is>
          <t>When you play me, you may play a unit costing no more than 3 and no more than rune from your trash, ignoring its cost.</t>
        </is>
      </c>
      <c r="K98" s="667" t="n"/>
    </row>
    <row r="99" ht="15" customHeight="1">
      <c r="A99" s="58" t="inlineStr">
        <is>
          <t>OGN-228</t>
        </is>
      </c>
      <c r="B99" s="58" t="n">
        <v>2</v>
      </c>
      <c r="C99" s="58" t="inlineStr">
        <is>
          <t>Vanguard Helm</t>
        </is>
      </c>
      <c r="D99" s="58" t="inlineStr">
        <is>
          <t>Order</t>
        </is>
      </c>
      <c r="E99" s="58" t="inlineStr">
        <is>
          <t>Gear</t>
        </is>
      </c>
      <c r="F99" s="58" t="inlineStr">
        <is>
          <t>2</t>
        </is>
      </c>
      <c r="G99" s="58" t="inlineStr">
        <is>
          <t>0</t>
        </is>
      </c>
      <c r="H99" s="58" t="inlineStr">
        <is>
          <t>Uncommon</t>
        </is>
      </c>
      <c r="I99" s="58" t="inlineStr"/>
      <c r="J99" s="13" t="inlineStr">
        <is>
          <t>When a buffed friendly unit dies, buff another friendly unit. (If it doesn't have a buff, it gets a +1 Might buff.)</t>
        </is>
      </c>
      <c r="K99" s="667" t="n"/>
    </row>
    <row r="100" ht="15" customHeight="1">
      <c r="A100" s="58" t="inlineStr">
        <is>
          <t>OGN-233</t>
        </is>
      </c>
      <c r="B100" s="58" t="n">
        <v>1</v>
      </c>
      <c r="C100" s="58" t="inlineStr">
        <is>
          <t>Grand Strategem</t>
        </is>
      </c>
      <c r="D100" s="58" t="inlineStr">
        <is>
          <t>Order</t>
        </is>
      </c>
      <c r="E100" s="58" t="inlineStr">
        <is>
          <t>Spell</t>
        </is>
      </c>
      <c r="F100" s="58" t="inlineStr">
        <is>
          <t>6</t>
        </is>
      </c>
      <c r="G100" s="58" t="inlineStr">
        <is>
          <t>0</t>
        </is>
      </c>
      <c r="H100" s="58" t="inlineStr">
        <is>
          <t>Rare</t>
        </is>
      </c>
      <c r="I100" s="58" t="inlineStr"/>
      <c r="J100" s="13" t="inlineStr">
        <is>
          <t>ACTION (Play on your turn or in showdowns.)
Give friendly units +5 Might this turn.</t>
        </is>
      </c>
      <c r="K100" s="667" t="n"/>
    </row>
    <row r="101" ht="15" customHeight="1">
      <c r="A101" s="57" t="inlineStr">
        <is>
          <t>OGN-247</t>
        </is>
      </c>
      <c r="B101" s="57" t="n">
        <v>1</v>
      </c>
      <c r="C101" s="57" t="inlineStr">
        <is>
          <t>Kai'Sa - Daughter of the Void</t>
        </is>
      </c>
      <c r="D101" s="57" t="inlineStr">
        <is>
          <t>Fury;Mind</t>
        </is>
      </c>
      <c r="E101" s="57" t="inlineStr">
        <is>
          <t>Legend</t>
        </is>
      </c>
      <c r="F101" s="57" t="inlineStr">
        <is>
          <t>0</t>
        </is>
      </c>
      <c r="G101" s="57" t="inlineStr">
        <is>
          <t>0</t>
        </is>
      </c>
      <c r="H101" s="57" t="inlineStr">
        <is>
          <t>Rare</t>
        </is>
      </c>
      <c r="I101" s="57" t="inlineStr">
        <is>
          <t>Kai'Sa</t>
        </is>
      </c>
      <c r="J101" s="3" t="inlineStr">
        <is>
          <t>Exhaust: REACTION - ADD rune. Use only to play spells. (Abilities that add resources can't be reacted to.)</t>
        </is>
      </c>
      <c r="K101" s="667" t="n"/>
    </row>
    <row r="102" ht="15" customHeight="1">
      <c r="A102" s="57" t="inlineStr">
        <is>
          <t>OGN-249</t>
        </is>
      </c>
      <c r="B102" s="57" t="n">
        <v>1</v>
      </c>
      <c r="C102" s="57" t="inlineStr">
        <is>
          <t>Volibear - Relentless Storm</t>
        </is>
      </c>
      <c r="D102" s="57" t="inlineStr">
        <is>
          <t>Fury;Body</t>
        </is>
      </c>
      <c r="E102" s="57" t="inlineStr">
        <is>
          <t>Legend</t>
        </is>
      </c>
      <c r="F102" s="57" t="inlineStr">
        <is>
          <t>0</t>
        </is>
      </c>
      <c r="G102" s="57" t="inlineStr">
        <is>
          <t>0</t>
        </is>
      </c>
      <c r="H102" s="57" t="inlineStr">
        <is>
          <t>Rare</t>
        </is>
      </c>
      <c r="I102" s="57" t="inlineStr">
        <is>
          <t>Volibear</t>
        </is>
      </c>
      <c r="J102" s="3" t="inlineStr">
        <is>
          <t>When you play a MIGHTY unit, you may exhaust me to channel 1 rune exhausted. (A unit is Mighty while it has 5+ Might)</t>
        </is>
      </c>
      <c r="K102" s="667" t="n"/>
    </row>
    <row r="103" ht="15" customHeight="1">
      <c r="A103" s="57" t="inlineStr">
        <is>
          <t>OGN-250</t>
        </is>
      </c>
      <c r="B103" s="57" t="n">
        <v>3</v>
      </c>
      <c r="C103" s="57" t="inlineStr">
        <is>
          <t>Stormbringer</t>
        </is>
      </c>
      <c r="D103" s="57" t="inlineStr">
        <is>
          <t>Fury;Body</t>
        </is>
      </c>
      <c r="E103" s="57" t="inlineStr">
        <is>
          <t>Signature Spell</t>
        </is>
      </c>
      <c r="F103" s="57" t="inlineStr">
        <is>
          <t>6</t>
        </is>
      </c>
      <c r="G103" s="57" t="inlineStr">
        <is>
          <t>0</t>
        </is>
      </c>
      <c r="H103" s="57" t="inlineStr">
        <is>
          <t>Epic</t>
        </is>
      </c>
      <c r="I103" s="57" t="inlineStr">
        <is>
          <t>Volibear</t>
        </is>
      </c>
      <c r="J103" s="3" t="inlineStr">
        <is>
          <t>Choose a friendly unit in your base. Deal damage equal to its Might to all enemy units at a battlefield, then move your unit there.</t>
        </is>
      </c>
      <c r="K103" s="428" t="inlineStr">
        <is>
          <t>Voli(3)</t>
        </is>
      </c>
    </row>
    <row r="104" ht="15" customHeight="1">
      <c r="A104" s="57" t="inlineStr">
        <is>
          <t>OGN-251</t>
        </is>
      </c>
      <c r="B104" s="57" t="n">
        <v>1</v>
      </c>
      <c r="C104" s="57" t="inlineStr">
        <is>
          <t>Jinx - Loose Cannon</t>
        </is>
      </c>
      <c r="D104" s="57" t="inlineStr">
        <is>
          <t>Fury;Chaos</t>
        </is>
      </c>
      <c r="E104" s="57" t="inlineStr">
        <is>
          <t>Legend</t>
        </is>
      </c>
      <c r="F104" s="57" t="inlineStr">
        <is>
          <t>0</t>
        </is>
      </c>
      <c r="G104" s="57" t="inlineStr">
        <is>
          <t>0</t>
        </is>
      </c>
      <c r="H104" s="57" t="inlineStr">
        <is>
          <t>Rare</t>
        </is>
      </c>
      <c r="I104" s="57" t="inlineStr">
        <is>
          <t>Jinx</t>
        </is>
      </c>
      <c r="J104" s="3" t="inlineStr">
        <is>
          <t>At start of your Beginning Phase, draw 1 if you have 1 or fewer cards in your hand.</t>
        </is>
      </c>
      <c r="K104" s="667" t="n"/>
    </row>
    <row r="105" ht="15" customHeight="1">
      <c r="A105" s="57" t="inlineStr">
        <is>
          <t>OGN-253</t>
        </is>
      </c>
      <c r="B105" s="57" t="n">
        <v>1</v>
      </c>
      <c r="C105" s="57" t="inlineStr">
        <is>
          <t>Darius - Hand of Noxus</t>
        </is>
      </c>
      <c r="D105" s="57" t="inlineStr">
        <is>
          <t>Fury;Order</t>
        </is>
      </c>
      <c r="E105" s="57" t="inlineStr">
        <is>
          <t>Legend</t>
        </is>
      </c>
      <c r="F105" s="57" t="inlineStr">
        <is>
          <t>0</t>
        </is>
      </c>
      <c r="G105" s="57" t="inlineStr">
        <is>
          <t>0</t>
        </is>
      </c>
      <c r="H105" s="57" t="inlineStr">
        <is>
          <t>Rare</t>
        </is>
      </c>
      <c r="I105" s="57" t="inlineStr">
        <is>
          <t>Darius</t>
        </is>
      </c>
      <c r="J105" s="3" t="inlineStr">
        <is>
          <t>Exhaust REACTION, LEGION - ADD 1 (Abilities that add resources can't be reacted to. Get the effect if you've played a card this turn.)</t>
        </is>
      </c>
      <c r="K105" s="667" t="n"/>
    </row>
    <row r="106" ht="15" customHeight="1">
      <c r="A106" s="49" t="inlineStr">
        <is>
          <t>OGN-255</t>
        </is>
      </c>
      <c r="B106" s="49" t="n">
        <v>1</v>
      </c>
      <c r="C106" s="49" t="inlineStr">
        <is>
          <t>Ahri - Nine-Tailed Fox</t>
        </is>
      </c>
      <c r="D106" s="49" t="inlineStr">
        <is>
          <t>Calm;Mind</t>
        </is>
      </c>
      <c r="E106" s="49" t="inlineStr">
        <is>
          <t>Legend</t>
        </is>
      </c>
      <c r="F106" s="49" t="inlineStr">
        <is>
          <t>0</t>
        </is>
      </c>
      <c r="G106" s="49" t="inlineStr">
        <is>
          <t>0</t>
        </is>
      </c>
      <c r="H106" s="49" t="inlineStr">
        <is>
          <t>Rare</t>
        </is>
      </c>
      <c r="I106" s="49" t="inlineStr">
        <is>
          <t>Ahri</t>
        </is>
      </c>
      <c r="J106" s="5" t="inlineStr">
        <is>
          <t>When an enemy unit attacks a battlefield you control, give it -1 Might this turn, to a minimum of 1 Might.</t>
        </is>
      </c>
      <c r="K106" s="667" t="n"/>
    </row>
    <row r="107" ht="15" customHeight="1">
      <c r="A107" s="49" t="inlineStr">
        <is>
          <t>OGN-257</t>
        </is>
      </c>
      <c r="B107" s="49" t="n">
        <v>1</v>
      </c>
      <c r="C107" s="49" t="inlineStr">
        <is>
          <t>Lee Sin - Blind Monk</t>
        </is>
      </c>
      <c r="D107" s="49" t="inlineStr">
        <is>
          <t>Calm;Body</t>
        </is>
      </c>
      <c r="E107" s="49" t="inlineStr">
        <is>
          <t>Legend</t>
        </is>
      </c>
      <c r="F107" s="49" t="inlineStr">
        <is>
          <t>0</t>
        </is>
      </c>
      <c r="G107" s="49" t="inlineStr">
        <is>
          <t>0</t>
        </is>
      </c>
      <c r="H107" s="49" t="inlineStr">
        <is>
          <t>Rare</t>
        </is>
      </c>
      <c r="I107" s="49" t="inlineStr">
        <is>
          <t>Lee Sin</t>
        </is>
      </c>
      <c r="J107" s="5" t="inlineStr">
        <is>
          <t>1, Exhaust: Buff a friendly unit. (If it doesn't have a buff, it gets a +1 Might buff.)</t>
        </is>
      </c>
      <c r="K107" s="667" t="n"/>
    </row>
    <row r="108" ht="15" customHeight="1">
      <c r="A108" s="49" t="inlineStr">
        <is>
          <t>OGN-259</t>
        </is>
      </c>
      <c r="B108" s="49" t="n">
        <v>1</v>
      </c>
      <c r="C108" s="49" t="inlineStr">
        <is>
          <t>Yasuo - Unforgiven</t>
        </is>
      </c>
      <c r="D108" s="49" t="inlineStr">
        <is>
          <t>Calm;Chaos</t>
        </is>
      </c>
      <c r="E108" s="49" t="inlineStr">
        <is>
          <t>Legend</t>
        </is>
      </c>
      <c r="F108" s="49" t="inlineStr">
        <is>
          <t>0</t>
        </is>
      </c>
      <c r="G108" s="49" t="inlineStr">
        <is>
          <t>0</t>
        </is>
      </c>
      <c r="H108" s="49" t="inlineStr">
        <is>
          <t>Rare</t>
        </is>
      </c>
      <c r="I108" s="49" t="inlineStr">
        <is>
          <t>Yasuo</t>
        </is>
      </c>
      <c r="J108" s="5" t="inlineStr">
        <is>
          <t>2, Exhaust: Move a friendly unit to or from your base.</t>
        </is>
      </c>
      <c r="K108" s="667" t="n"/>
    </row>
    <row r="109" ht="15" customHeight="1">
      <c r="A109" s="49" t="inlineStr">
        <is>
          <t>OGN-261</t>
        </is>
      </c>
      <c r="B109" s="49" t="n">
        <v>1</v>
      </c>
      <c r="C109" s="49" t="inlineStr">
        <is>
          <t>Leona - Radiant Dawn</t>
        </is>
      </c>
      <c r="D109" s="49" t="inlineStr">
        <is>
          <t>Calm;Order</t>
        </is>
      </c>
      <c r="E109" s="49" t="inlineStr">
        <is>
          <t>Legend</t>
        </is>
      </c>
      <c r="F109" s="49" t="inlineStr">
        <is>
          <t>0</t>
        </is>
      </c>
      <c r="G109" s="49" t="inlineStr">
        <is>
          <t>0</t>
        </is>
      </c>
      <c r="H109" s="49" t="inlineStr">
        <is>
          <t>Rare</t>
        </is>
      </c>
      <c r="I109" s="49" t="inlineStr">
        <is>
          <t>Leona</t>
        </is>
      </c>
      <c r="J109" s="5" t="inlineStr">
        <is>
          <t>When you stun one or more enemy units, buff a friendly unit. (If it doesn't have a buff, it gets a +1 Might buff.)</t>
        </is>
      </c>
      <c r="K109" s="667" t="n"/>
    </row>
    <row r="110" ht="15" customHeight="1">
      <c r="A110" s="54" t="inlineStr">
        <is>
          <t>OGN-263</t>
        </is>
      </c>
      <c r="B110" s="54" t="n">
        <v>2</v>
      </c>
      <c r="C110" s="54" t="inlineStr">
        <is>
          <t>Teemo - Swift Scout</t>
        </is>
      </c>
      <c r="D110" s="54" t="inlineStr">
        <is>
          <t>Mind;Chaos</t>
        </is>
      </c>
      <c r="E110" s="54" t="inlineStr">
        <is>
          <t>Legend</t>
        </is>
      </c>
      <c r="F110" s="54" t="inlineStr">
        <is>
          <t>0</t>
        </is>
      </c>
      <c r="G110" s="54" t="inlineStr">
        <is>
          <t>0</t>
        </is>
      </c>
      <c r="H110" s="54" t="inlineStr">
        <is>
          <t>Rare</t>
        </is>
      </c>
      <c r="I110" s="54" t="inlineStr">
        <is>
          <t>Teemo</t>
        </is>
      </c>
      <c r="J110" s="7" t="inlineStr">
        <is>
          <t>You may pay 1 to hide a card with HIDDEN instead of rune.
1, Exhaust: Put a Teemo unit you own into your hand from your Champion Zone or the board.</t>
        </is>
      </c>
      <c r="K110" s="667" t="n"/>
    </row>
    <row r="111" ht="15" customHeight="1">
      <c r="A111" s="54" t="inlineStr">
        <is>
          <t>OGN-265</t>
        </is>
      </c>
      <c r="B111" s="54" t="n">
        <v>1</v>
      </c>
      <c r="C111" s="54" t="inlineStr">
        <is>
          <t>Viktor - Herald of the Arcane</t>
        </is>
      </c>
      <c r="D111" s="54" t="inlineStr">
        <is>
          <t>Mind;Order</t>
        </is>
      </c>
      <c r="E111" s="54" t="inlineStr">
        <is>
          <t>Legend</t>
        </is>
      </c>
      <c r="F111" s="54" t="inlineStr">
        <is>
          <t>0</t>
        </is>
      </c>
      <c r="G111" s="54" t="inlineStr">
        <is>
          <t>0</t>
        </is>
      </c>
      <c r="H111" s="54" t="inlineStr">
        <is>
          <t>Rare</t>
        </is>
      </c>
      <c r="I111" s="54" t="inlineStr">
        <is>
          <t>Viktor</t>
        </is>
      </c>
      <c r="J111" s="7" t="inlineStr">
        <is>
          <t>1, Exhaust: Play a 1 Might Recruit unit token.</t>
        </is>
      </c>
      <c r="K111" s="667" t="n"/>
    </row>
    <row r="112" ht="15" customHeight="1">
      <c r="A112" s="59" t="inlineStr">
        <is>
          <t>OGN-267</t>
        </is>
      </c>
      <c r="B112" s="59" t="n">
        <v>1</v>
      </c>
      <c r="C112" s="59" t="inlineStr">
        <is>
          <t>Miss Fortune - Bounty Hunter</t>
        </is>
      </c>
      <c r="D112" s="59" t="inlineStr">
        <is>
          <t>Body;Chaos</t>
        </is>
      </c>
      <c r="E112" s="59" t="inlineStr">
        <is>
          <t>Legend</t>
        </is>
      </c>
      <c r="F112" s="59" t="inlineStr">
        <is>
          <t>0</t>
        </is>
      </c>
      <c r="G112" s="59" t="inlineStr">
        <is>
          <t>0</t>
        </is>
      </c>
      <c r="H112" s="59" t="inlineStr">
        <is>
          <t>Rare</t>
        </is>
      </c>
      <c r="I112" s="59" t="inlineStr">
        <is>
          <t>Miss Fortune</t>
        </is>
      </c>
      <c r="J112" s="9" t="inlineStr">
        <is>
          <t>Exhaust: Give a unit GANKING this turn. (It can move from battlefield to battlefield.)</t>
        </is>
      </c>
      <c r="K112" s="667" t="n"/>
    </row>
    <row r="113" ht="15" customHeight="1">
      <c r="A113" s="59" t="inlineStr">
        <is>
          <t>OGN-269</t>
        </is>
      </c>
      <c r="B113" s="59" t="n">
        <v>1</v>
      </c>
      <c r="C113" s="59" t="inlineStr">
        <is>
          <t>Sett - The Boss</t>
        </is>
      </c>
      <c r="D113" s="59" t="inlineStr">
        <is>
          <t>Body;Order</t>
        </is>
      </c>
      <c r="E113" s="59" t="inlineStr">
        <is>
          <t>Legend</t>
        </is>
      </c>
      <c r="F113" s="59" t="inlineStr"/>
      <c r="G113" s="59" t="inlineStr"/>
      <c r="H113" s="59" t="inlineStr">
        <is>
          <t>Rare</t>
        </is>
      </c>
      <c r="I113" s="59" t="inlineStr">
        <is>
          <t>Sett</t>
        </is>
      </c>
      <c r="J113" s="9" t="inlineStr">
        <is>
          <t>When a buffed unit you control would die, you may pay rune and exhaust me to spend its buff and recall it exhausted instead. (Send it to base. This isn't a move.)
When you conquer, ready me.</t>
        </is>
      </c>
      <c r="K113" s="667" t="n"/>
    </row>
    <row r="114" ht="15" customHeight="1">
      <c r="A114" s="14" t="inlineStr">
        <is>
          <t>OGN-275</t>
        </is>
      </c>
      <c r="B114" s="14" t="n">
        <v>1</v>
      </c>
      <c r="C114" s="14" t="inlineStr">
        <is>
          <t>Altar to Unity</t>
        </is>
      </c>
      <c r="D114" s="14" t="inlineStr">
        <is>
          <t>Colorless</t>
        </is>
      </c>
      <c r="E114" s="14" t="inlineStr">
        <is>
          <t>Battlefield</t>
        </is>
      </c>
      <c r="F114" s="14" t="inlineStr">
        <is>
          <t>0</t>
        </is>
      </c>
      <c r="G114" s="14" t="inlineStr">
        <is>
          <t>0</t>
        </is>
      </c>
      <c r="H114" s="14" t="inlineStr">
        <is>
          <t>Uncommon</t>
        </is>
      </c>
      <c r="I114" s="14" t="inlineStr"/>
      <c r="J114" s="15" t="inlineStr">
        <is>
          <t>When you hold here, play a 1 Might Recruit unit token in your base.</t>
        </is>
      </c>
      <c r="K114" s="667" t="n"/>
    </row>
    <row r="115" ht="15" customHeight="1">
      <c r="A115" s="14" t="inlineStr">
        <is>
          <t>OGN-276</t>
        </is>
      </c>
      <c r="B115" s="14" t="n">
        <v>1</v>
      </c>
      <c r="C115" s="14" t="inlineStr">
        <is>
          <t>Aspirant's Climb</t>
        </is>
      </c>
      <c r="D115" s="14" t="inlineStr">
        <is>
          <t>Colorless</t>
        </is>
      </c>
      <c r="E115" s="14" t="inlineStr">
        <is>
          <t>Battlefield</t>
        </is>
      </c>
      <c r="F115" s="14" t="inlineStr">
        <is>
          <t>0</t>
        </is>
      </c>
      <c r="G115" s="14" t="inlineStr">
        <is>
          <t>0</t>
        </is>
      </c>
      <c r="H115" s="14" t="inlineStr">
        <is>
          <t>Uncommon</t>
        </is>
      </c>
      <c r="I115" s="14" t="inlineStr"/>
      <c r="J115" s="15" t="inlineStr">
        <is>
          <t>Increase the points needed to win the game by 1</t>
        </is>
      </c>
      <c r="K115" s="667" t="n"/>
    </row>
    <row r="116" ht="15" customHeight="1">
      <c r="A116" s="14" t="inlineStr">
        <is>
          <t>OGN-278</t>
        </is>
      </c>
      <c r="B116" s="14" t="n">
        <v>1</v>
      </c>
      <c r="C116" s="14" t="inlineStr">
        <is>
          <t>Bandle Tree</t>
        </is>
      </c>
      <c r="D116" s="14" t="inlineStr">
        <is>
          <t>Colorless</t>
        </is>
      </c>
      <c r="E116" s="14" t="inlineStr">
        <is>
          <t>Battlefield</t>
        </is>
      </c>
      <c r="F116" s="14" t="inlineStr">
        <is>
          <t>0</t>
        </is>
      </c>
      <c r="G116" s="14" t="inlineStr">
        <is>
          <t>0</t>
        </is>
      </c>
      <c r="H116" s="14" t="inlineStr">
        <is>
          <t>Uncommon</t>
        </is>
      </c>
      <c r="I116" s="14" t="inlineStr"/>
      <c r="J116" s="15" t="inlineStr">
        <is>
          <t>You may hide an additional card here.</t>
        </is>
      </c>
      <c r="K116" s="667" t="n"/>
    </row>
    <row r="117" ht="15" customHeight="1">
      <c r="A117" s="14" t="inlineStr">
        <is>
          <t>OGN-279</t>
        </is>
      </c>
      <c r="B117" s="14" t="n">
        <v>1</v>
      </c>
      <c r="C117" s="14" t="inlineStr">
        <is>
          <t>Fortified Position</t>
        </is>
      </c>
      <c r="D117" s="14" t="inlineStr">
        <is>
          <t>Colorless</t>
        </is>
      </c>
      <c r="E117" s="14" t="inlineStr">
        <is>
          <t>Battlefield</t>
        </is>
      </c>
      <c r="F117" s="14" t="inlineStr">
        <is>
          <t>0</t>
        </is>
      </c>
      <c r="G117" s="14" t="inlineStr">
        <is>
          <t>0</t>
        </is>
      </c>
      <c r="H117" s="14" t="inlineStr">
        <is>
          <t>Uncommon</t>
        </is>
      </c>
      <c r="I117" s="14" t="inlineStr"/>
      <c r="J117" s="15" t="inlineStr">
        <is>
          <t>When you defend here, choose a unit. It gains SHIELD 2 this combat. (+2 Might while It's a defender.)</t>
        </is>
      </c>
      <c r="K117" s="667" t="n"/>
    </row>
    <row r="118" ht="15" customHeight="1">
      <c r="A118" s="14" t="inlineStr">
        <is>
          <t>OGN-280</t>
        </is>
      </c>
      <c r="B118" s="14" t="n">
        <v>1</v>
      </c>
      <c r="C118" s="14" t="inlineStr">
        <is>
          <t>Grove of the God-Willow</t>
        </is>
      </c>
      <c r="D118" s="14" t="inlineStr">
        <is>
          <t>Colorless</t>
        </is>
      </c>
      <c r="E118" s="14" t="inlineStr">
        <is>
          <t>Battlefield</t>
        </is>
      </c>
      <c r="F118" s="14" t="inlineStr">
        <is>
          <t>0</t>
        </is>
      </c>
      <c r="G118" s="14" t="inlineStr">
        <is>
          <t>0</t>
        </is>
      </c>
      <c r="H118" s="14" t="inlineStr">
        <is>
          <t>Uncommon</t>
        </is>
      </c>
      <c r="I118" s="14" t="inlineStr"/>
      <c r="J118" s="15" t="inlineStr">
        <is>
          <t>When you hold here, draw 1.</t>
        </is>
      </c>
      <c r="K118" s="667" t="n"/>
    </row>
    <row r="119" ht="15" customHeight="1">
      <c r="A119" s="14" t="inlineStr">
        <is>
          <t>OGN-282</t>
        </is>
      </c>
      <c r="B119" s="14" t="n">
        <v>1</v>
      </c>
      <c r="C119" s="14" t="inlineStr">
        <is>
          <t>Monastery of Hirana</t>
        </is>
      </c>
      <c r="D119" s="14" t="inlineStr">
        <is>
          <t>Colorless</t>
        </is>
      </c>
      <c r="E119" s="14" t="inlineStr">
        <is>
          <t>Battlefield</t>
        </is>
      </c>
      <c r="F119" s="14" t="inlineStr">
        <is>
          <t>0</t>
        </is>
      </c>
      <c r="G119" s="14" t="inlineStr">
        <is>
          <t>0</t>
        </is>
      </c>
      <c r="H119" s="14" t="inlineStr">
        <is>
          <t>Uncommon</t>
        </is>
      </c>
      <c r="I119" s="14" t="inlineStr"/>
      <c r="J119" s="15" t="inlineStr">
        <is>
          <t>When you conquer here, you may spend a buff to draw 1.</t>
        </is>
      </c>
      <c r="K119" s="667" t="n"/>
    </row>
    <row r="120" ht="15" customHeight="1">
      <c r="A120" s="14" t="inlineStr">
        <is>
          <t>OGN-284</t>
        </is>
      </c>
      <c r="B120" s="14" t="n">
        <v>1</v>
      </c>
      <c r="C120" s="14" t="inlineStr">
        <is>
          <t>Obelisk of Power</t>
        </is>
      </c>
      <c r="D120" s="14" t="inlineStr">
        <is>
          <t>Colorless</t>
        </is>
      </c>
      <c r="E120" s="14" t="inlineStr">
        <is>
          <t>Battlefield</t>
        </is>
      </c>
      <c r="F120" s="14" t="inlineStr">
        <is>
          <t>0</t>
        </is>
      </c>
      <c r="G120" s="14" t="inlineStr">
        <is>
          <t>0</t>
        </is>
      </c>
      <c r="H120" s="14" t="inlineStr">
        <is>
          <t>Uncommon</t>
        </is>
      </c>
      <c r="I120" s="14" t="inlineStr"/>
      <c r="J120" s="15" t="inlineStr">
        <is>
          <t>Players channel one additional rune during their first Runic Phase this game.</t>
        </is>
      </c>
      <c r="K120" s="667" t="n"/>
    </row>
    <row r="121" ht="15" customHeight="1">
      <c r="A121" s="14" t="inlineStr">
        <is>
          <t>OGN-285</t>
        </is>
      </c>
      <c r="B121" s="14" t="n">
        <v>1</v>
      </c>
      <c r="C121" s="14" t="inlineStr">
        <is>
          <t>Reaver's Row</t>
        </is>
      </c>
      <c r="D121" s="14" t="inlineStr">
        <is>
          <t>Colorless</t>
        </is>
      </c>
      <c r="E121" s="14" t="inlineStr">
        <is>
          <t>Battlefield</t>
        </is>
      </c>
      <c r="F121" s="14" t="inlineStr">
        <is>
          <t>0</t>
        </is>
      </c>
      <c r="G121" s="14" t="inlineStr">
        <is>
          <t>0</t>
        </is>
      </c>
      <c r="H121" s="14" t="inlineStr">
        <is>
          <t>Uncommon</t>
        </is>
      </c>
      <c r="I121" s="14" t="inlineStr"/>
      <c r="J121" s="15" t="inlineStr">
        <is>
          <t>When you defend here, you may move a friendly unit here to base.</t>
        </is>
      </c>
      <c r="K121" s="667" t="n"/>
    </row>
    <row r="122" ht="15" customHeight="1">
      <c r="A122" s="14" t="inlineStr">
        <is>
          <t>OGN-286</t>
        </is>
      </c>
      <c r="B122" s="14" t="n">
        <v>1</v>
      </c>
      <c r="C122" s="14" t="inlineStr">
        <is>
          <t>Reckoner's Arena</t>
        </is>
      </c>
      <c r="D122" s="14" t="inlineStr">
        <is>
          <t>Colorless</t>
        </is>
      </c>
      <c r="E122" s="14" t="inlineStr">
        <is>
          <t>Battlefield</t>
        </is>
      </c>
      <c r="F122" s="14" t="inlineStr">
        <is>
          <t>0</t>
        </is>
      </c>
      <c r="G122" s="14" t="inlineStr">
        <is>
          <t>0</t>
        </is>
      </c>
      <c r="H122" s="14" t="inlineStr">
        <is>
          <t>Uncommon</t>
        </is>
      </c>
      <c r="I122" s="14" t="inlineStr"/>
      <c r="J122" s="15" t="inlineStr">
        <is>
          <t>When you hold this, activate the conquer abilities of units here.</t>
        </is>
      </c>
      <c r="K122" s="667" t="n"/>
    </row>
    <row r="123" ht="15" customHeight="1">
      <c r="A123" s="14" t="inlineStr">
        <is>
          <t>OGN-287</t>
        </is>
      </c>
      <c r="B123" s="14" t="n">
        <v>1</v>
      </c>
      <c r="C123" s="14" t="inlineStr">
        <is>
          <t>Sigil of the Storm</t>
        </is>
      </c>
      <c r="D123" s="14" t="inlineStr">
        <is>
          <t>Colorless</t>
        </is>
      </c>
      <c r="E123" s="14" t="inlineStr">
        <is>
          <t>Battlefield</t>
        </is>
      </c>
      <c r="F123" s="14" t="inlineStr">
        <is>
          <t>0</t>
        </is>
      </c>
      <c r="G123" s="14" t="inlineStr">
        <is>
          <t>0</t>
        </is>
      </c>
      <c r="H123" s="14" t="inlineStr">
        <is>
          <t>Uncommon</t>
        </is>
      </c>
      <c r="I123" s="14" t="inlineStr"/>
      <c r="J123" s="15" t="inlineStr">
        <is>
          <t>When you conquer here, recycle one of your runes</t>
        </is>
      </c>
      <c r="K123" s="667" t="n"/>
    </row>
    <row r="124" ht="15" customHeight="1">
      <c r="A124" s="14" t="inlineStr">
        <is>
          <t>OGN-289</t>
        </is>
      </c>
      <c r="B124" s="14" t="n">
        <v>1</v>
      </c>
      <c r="C124" s="14" t="inlineStr">
        <is>
          <t>Targon's Peak</t>
        </is>
      </c>
      <c r="D124" s="14" t="inlineStr">
        <is>
          <t>Colorless</t>
        </is>
      </c>
      <c r="E124" s="14" t="inlineStr">
        <is>
          <t>Battlefield</t>
        </is>
      </c>
      <c r="F124" s="14" t="inlineStr">
        <is>
          <t>0</t>
        </is>
      </c>
      <c r="G124" s="14" t="inlineStr">
        <is>
          <t>0</t>
        </is>
      </c>
      <c r="H124" s="14" t="inlineStr">
        <is>
          <t>Uncommon</t>
        </is>
      </c>
      <c r="I124" s="14" t="inlineStr"/>
      <c r="J124" s="15" t="inlineStr">
        <is>
          <t>When you conquer here, ready 2 runes at the end of this turn</t>
        </is>
      </c>
      <c r="K124" s="667" t="n"/>
    </row>
    <row r="125" ht="15" customHeight="1">
      <c r="A125" s="14" t="inlineStr">
        <is>
          <t>OGN-293</t>
        </is>
      </c>
      <c r="B125" s="14" t="n">
        <v>1</v>
      </c>
      <c r="C125" s="14" t="inlineStr">
        <is>
          <t>The Grand Plaza</t>
        </is>
      </c>
      <c r="D125" s="14" t="inlineStr">
        <is>
          <t>Colorless</t>
        </is>
      </c>
      <c r="E125" s="14" t="inlineStr">
        <is>
          <t>Battlefield</t>
        </is>
      </c>
      <c r="F125" s="14" t="inlineStr">
        <is>
          <t>0</t>
        </is>
      </c>
      <c r="G125" s="14" t="inlineStr">
        <is>
          <t>0</t>
        </is>
      </c>
      <c r="H125" s="14" t="inlineStr">
        <is>
          <t>Uncommon</t>
        </is>
      </c>
      <c r="I125" s="14" t="inlineStr"/>
      <c r="J125" s="15" t="inlineStr">
        <is>
          <t>When you hold here, if you have 7+ units here, you win the game.</t>
        </is>
      </c>
      <c r="K125" s="667" t="n"/>
    </row>
    <row r="126" ht="15" customHeight="1">
      <c r="A126" s="14" t="inlineStr">
        <is>
          <t>OGN-294</t>
        </is>
      </c>
      <c r="B126" s="14" t="n">
        <v>1</v>
      </c>
      <c r="C126" s="14" t="inlineStr">
        <is>
          <t>Trifarian War Camp</t>
        </is>
      </c>
      <c r="D126" s="14" t="inlineStr">
        <is>
          <t>Colorless</t>
        </is>
      </c>
      <c r="E126" s="14" t="inlineStr">
        <is>
          <t>Battlefield</t>
        </is>
      </c>
      <c r="F126" s="14" t="inlineStr">
        <is>
          <t>0</t>
        </is>
      </c>
      <c r="G126" s="14" t="inlineStr">
        <is>
          <t>0</t>
        </is>
      </c>
      <c r="H126" s="14" t="inlineStr">
        <is>
          <t>Uncommon</t>
        </is>
      </c>
      <c r="I126" s="14" t="inlineStr"/>
      <c r="J126" s="15" t="inlineStr">
        <is>
          <t>Units here have +1 Might. (This includes attackers.)</t>
        </is>
      </c>
      <c r="K126" s="667" t="n"/>
    </row>
    <row r="127" ht="15" customHeight="1">
      <c r="A127" s="14" t="inlineStr">
        <is>
          <t>OGN-295</t>
        </is>
      </c>
      <c r="B127" s="14" t="n">
        <v>1</v>
      </c>
      <c r="C127" s="14" t="inlineStr">
        <is>
          <t>Vilemaw's Lair</t>
        </is>
      </c>
      <c r="D127" s="14" t="inlineStr">
        <is>
          <t>Colorless</t>
        </is>
      </c>
      <c r="E127" s="14" t="inlineStr">
        <is>
          <t>Battlefield</t>
        </is>
      </c>
      <c r="F127" s="14" t="inlineStr">
        <is>
          <t>0</t>
        </is>
      </c>
      <c r="G127" s="14" t="inlineStr">
        <is>
          <t>0</t>
        </is>
      </c>
      <c r="H127" s="14" t="inlineStr">
        <is>
          <t>Uncommon</t>
        </is>
      </c>
      <c r="I127" s="14" t="inlineStr"/>
      <c r="J127" s="15" t="inlineStr">
        <is>
          <t>Units can't move from here to base.</t>
        </is>
      </c>
      <c r="K127" s="667" t="n"/>
    </row>
    <row r="128" ht="15" customHeight="1">
      <c r="A128" s="14" t="inlineStr">
        <is>
          <t>OGN-298</t>
        </is>
      </c>
      <c r="B128" s="14" t="n">
        <v>1</v>
      </c>
      <c r="C128" s="14" t="inlineStr">
        <is>
          <t>Zaun Warrens</t>
        </is>
      </c>
      <c r="D128" s="14" t="inlineStr">
        <is>
          <t>Colorless</t>
        </is>
      </c>
      <c r="E128" s="14" t="inlineStr">
        <is>
          <t>Battlefield</t>
        </is>
      </c>
      <c r="F128" s="14" t="inlineStr">
        <is>
          <t>0</t>
        </is>
      </c>
      <c r="G128" s="14" t="inlineStr">
        <is>
          <t>0</t>
        </is>
      </c>
      <c r="H128" s="14" t="inlineStr">
        <is>
          <t>Uncommon</t>
        </is>
      </c>
      <c r="I128" s="14" t="inlineStr"/>
      <c r="J128" s="15" t="inlineStr">
        <is>
          <t>When you conquer here, discard 1, then draw 1.</t>
        </is>
      </c>
      <c r="K128" s="667" t="n"/>
    </row>
    <row r="129" ht="15" customHeight="1">
      <c r="A129" s="57" t="inlineStr">
        <is>
          <t>SFD-001</t>
        </is>
      </c>
      <c r="B129" s="57" t="n">
        <v>3</v>
      </c>
      <c r="C129" s="57" t="inlineStr">
        <is>
          <t>Against the Odds</t>
        </is>
      </c>
      <c r="D129" s="57" t="inlineStr">
        <is>
          <t>Fury</t>
        </is>
      </c>
      <c r="E129" s="57" t="inlineStr">
        <is>
          <t>Spell</t>
        </is>
      </c>
      <c r="F129" s="57" t="inlineStr">
        <is>
          <t>2</t>
        </is>
      </c>
      <c r="G129" s="57" t="inlineStr">
        <is>
          <t>0</t>
        </is>
      </c>
      <c r="H129" s="57" t="inlineStr">
        <is>
          <t>Common</t>
        </is>
      </c>
      <c r="I129" s="57" t="inlineStr"/>
      <c r="J129" s="3" t="inlineStr">
        <is>
          <t>[REACTION] (Play any time, even before spells and abilities resolve.)
Give a friendly unit at a battlefield +2 Might this turn for each enemy unit there.</t>
        </is>
      </c>
      <c r="K129" s="428" t="inlineStr">
        <is>
          <t>Draven(3)</t>
        </is>
      </c>
    </row>
    <row r="130" ht="15" customHeight="1">
      <c r="A130" s="57" t="inlineStr">
        <is>
          <t>SFD-002</t>
        </is>
      </c>
      <c r="B130" s="57" t="n">
        <v>3</v>
      </c>
      <c r="C130" s="57" t="inlineStr">
        <is>
          <t>Armed Assailant</t>
        </is>
      </c>
      <c r="D130" s="57" t="inlineStr">
        <is>
          <t>Fury</t>
        </is>
      </c>
      <c r="E130" s="57" t="inlineStr">
        <is>
          <t>Unit</t>
        </is>
      </c>
      <c r="F130" s="57" t="inlineStr">
        <is>
          <t>6</t>
        </is>
      </c>
      <c r="G130" s="57" t="inlineStr">
        <is>
          <t>6</t>
        </is>
      </c>
      <c r="H130" s="57" t="inlineStr">
        <is>
          <t>Common</t>
        </is>
      </c>
      <c r="I130" s="57" t="inlineStr">
        <is>
          <t>Noxus</t>
        </is>
      </c>
      <c r="J130" s="3" t="inlineStr">
        <is>
          <t>[ACCELERATE] (You may pay 1 and Fury as an additional cost to have me enter ready.)
[WEAPONMASTER] (When you play me, you may [EQUIP] one of your Equipment to me for 1 Rune less, even if it's already attached.)</t>
        </is>
      </c>
      <c r="K130" s="428" t="inlineStr">
        <is>
          <t>Draven(3)</t>
        </is>
      </c>
    </row>
    <row r="131" ht="15" customHeight="1">
      <c r="A131" s="57" t="inlineStr">
        <is>
          <t>SFD-003</t>
        </is>
      </c>
      <c r="B131" s="57" t="n">
        <v>3</v>
      </c>
      <c r="C131" s="57" t="inlineStr">
        <is>
          <t>Blood Rush</t>
        </is>
      </c>
      <c r="D131" s="57" t="inlineStr">
        <is>
          <t>Fury</t>
        </is>
      </c>
      <c r="E131" s="57" t="inlineStr">
        <is>
          <t>Spell</t>
        </is>
      </c>
      <c r="F131" s="57" t="inlineStr">
        <is>
          <t>1</t>
        </is>
      </c>
      <c r="G131" s="57" t="inlineStr"/>
      <c r="H131" s="57" t="inlineStr">
        <is>
          <t>Common</t>
        </is>
      </c>
      <c r="I131" s="57" t="inlineStr"/>
      <c r="J131" s="3" t="inlineStr">
        <is>
          <t>[ACTION] (Play on your turn or in showdowns.)
[REPEAT 1]  (You may pay the additional cost to repeat this spell's effect.)
Give a unit [ASSAULT 2]. (+2  while it's an attacker.)</t>
        </is>
      </c>
      <c r="K131" s="428" t="inlineStr">
        <is>
          <t>Draven(3)</t>
        </is>
      </c>
    </row>
    <row r="132" ht="15" customHeight="1">
      <c r="A132" s="57" t="inlineStr">
        <is>
          <t>SFD-004</t>
        </is>
      </c>
      <c r="B132" s="57" t="n">
        <v>1</v>
      </c>
      <c r="C132" s="57" t="inlineStr">
        <is>
          <t>Bushwack</t>
        </is>
      </c>
      <c r="D132" s="57" t="inlineStr">
        <is>
          <t>Fury</t>
        </is>
      </c>
      <c r="E132" s="57" t="inlineStr">
        <is>
          <t>Spell</t>
        </is>
      </c>
      <c r="F132" s="57" t="inlineStr">
        <is>
          <t>2</t>
        </is>
      </c>
      <c r="G132" s="57" t="inlineStr"/>
      <c r="H132" s="57" t="inlineStr">
        <is>
          <t>Common</t>
        </is>
      </c>
      <c r="I132" s="57" t="inlineStr"/>
      <c r="J132" s="3" t="inlineStr">
        <is>
          <t>[HIDDEN] (Hide now for 1 Rune to react with later for 0.) Friendly units enter ready this turn. Play a Gold gear token exhausted.</t>
        </is>
      </c>
      <c r="K132" s="667" t="n"/>
    </row>
    <row r="133" ht="15" customHeight="1">
      <c r="A133" s="57" t="inlineStr">
        <is>
          <t>SFD-005</t>
        </is>
      </c>
      <c r="B133" s="57" t="n">
        <v>3</v>
      </c>
      <c r="C133" s="57" t="inlineStr">
        <is>
          <t>Detonate</t>
        </is>
      </c>
      <c r="D133" s="57" t="inlineStr">
        <is>
          <t>Fury</t>
        </is>
      </c>
      <c r="E133" s="57" t="inlineStr">
        <is>
          <t>Spell</t>
        </is>
      </c>
      <c r="F133" s="57" t="inlineStr">
        <is>
          <t>1</t>
        </is>
      </c>
      <c r="G133" s="57" t="inlineStr"/>
      <c r="H133" s="57" t="inlineStr">
        <is>
          <t>Common</t>
        </is>
      </c>
      <c r="I133" s="57" t="inlineStr"/>
      <c r="J133" s="3" t="inlineStr">
        <is>
          <t>Kill a gear. Its controller draws 2.</t>
        </is>
      </c>
      <c r="K133" s="667" t="n"/>
    </row>
    <row r="134" ht="15" customHeight="1">
      <c r="A134" s="57" t="inlineStr">
        <is>
          <t>SFD-006</t>
        </is>
      </c>
      <c r="B134" s="57" t="n">
        <v>3</v>
      </c>
      <c r="C134" s="57" t="inlineStr">
        <is>
          <t>Eager Drakehound</t>
        </is>
      </c>
      <c r="D134" s="57" t="inlineStr">
        <is>
          <t>Fury</t>
        </is>
      </c>
      <c r="E134" s="57" t="inlineStr">
        <is>
          <t>Unit</t>
        </is>
      </c>
      <c r="F134" s="57" t="inlineStr">
        <is>
          <t>3</t>
        </is>
      </c>
      <c r="G134" s="57" t="inlineStr">
        <is>
          <t>3</t>
        </is>
      </c>
      <c r="H134" s="57" t="inlineStr">
        <is>
          <t>Common</t>
        </is>
      </c>
      <c r="I134" s="57" t="inlineStr">
        <is>
          <t>Noxus;Dog;Dragon</t>
        </is>
      </c>
      <c r="J134" s="3" t="inlineStr">
        <is>
          <t>I enter ready.</t>
        </is>
      </c>
      <c r="K134" s="428" t="inlineStr">
        <is>
          <t>Draven(3)</t>
        </is>
      </c>
    </row>
    <row r="135" ht="15" customHeight="1">
      <c r="A135" s="57" t="inlineStr">
        <is>
          <t>SFD-007</t>
        </is>
      </c>
      <c r="B135" s="57" t="n">
        <v>3</v>
      </c>
      <c r="C135" s="57" t="inlineStr">
        <is>
          <t>Gem Jammer</t>
        </is>
      </c>
      <c r="D135" s="57" t="inlineStr">
        <is>
          <t>Fury</t>
        </is>
      </c>
      <c r="E135" s="57" t="inlineStr">
        <is>
          <t>Unit</t>
        </is>
      </c>
      <c r="F135" s="57" t="inlineStr">
        <is>
          <t>2</t>
        </is>
      </c>
      <c r="G135" s="57" t="inlineStr">
        <is>
          <t>2</t>
        </is>
      </c>
      <c r="H135" s="57" t="inlineStr">
        <is>
          <t>Common</t>
        </is>
      </c>
      <c r="I135" s="57" t="inlineStr">
        <is>
          <t>Bandle City;Mech</t>
        </is>
      </c>
      <c r="J135" s="3" t="inlineStr">
        <is>
          <t>When you play me, give a unit [GANKING] this turn. (It can move from battlefield to battlefield)</t>
        </is>
      </c>
      <c r="K135" s="667" t="n"/>
    </row>
    <row r="136" ht="15" customHeight="1">
      <c r="A136" s="57" t="inlineStr">
        <is>
          <t>SFD-008</t>
        </is>
      </c>
      <c r="B136" s="57" t="n">
        <v>3</v>
      </c>
      <c r="C136" s="57" t="inlineStr">
        <is>
          <t>Sentinel Adept</t>
        </is>
      </c>
      <c r="D136" s="57" t="inlineStr">
        <is>
          <t>Fury</t>
        </is>
      </c>
      <c r="E136" s="57" t="inlineStr">
        <is>
          <t>Unit</t>
        </is>
      </c>
      <c r="F136" s="57" t="inlineStr">
        <is>
          <t>3</t>
        </is>
      </c>
      <c r="G136" s="57" t="inlineStr">
        <is>
          <t>3</t>
        </is>
      </c>
      <c r="H136" s="57" t="inlineStr">
        <is>
          <t>Common</t>
        </is>
      </c>
      <c r="I136" s="57" t="inlineStr">
        <is>
          <t>Shadow Isles;Sentinel</t>
        </is>
      </c>
      <c r="J136" s="3" t="inlineStr">
        <is>
          <t>[WEAPONMASTER] (When you play me, you may [Equip] one of your Equipment to me for 1 Rune less, even if it's already attached.)</t>
        </is>
      </c>
      <c r="K136" s="667" t="n"/>
    </row>
    <row r="137" ht="15" customHeight="1">
      <c r="A137" s="57" t="inlineStr">
        <is>
          <t>SFD-009</t>
        </is>
      </c>
      <c r="B137" s="57" t="n">
        <v>3</v>
      </c>
      <c r="C137" s="57" t="inlineStr">
        <is>
          <t>Serrated Dirk</t>
        </is>
      </c>
      <c r="D137" s="57" t="inlineStr">
        <is>
          <t>Fury</t>
        </is>
      </c>
      <c r="E137" s="57" t="inlineStr">
        <is>
          <t>Gear</t>
        </is>
      </c>
      <c r="F137" s="57" t="inlineStr">
        <is>
          <t>1</t>
        </is>
      </c>
      <c r="G137" s="57" t="inlineStr"/>
      <c r="H137" s="57" t="inlineStr">
        <is>
          <t>Common</t>
        </is>
      </c>
      <c r="I137" s="57" t="inlineStr">
        <is>
          <t>Equipment</t>
        </is>
      </c>
      <c r="J137" s="3" t="inlineStr">
        <is>
          <t>[EQUIP Fury] (Fury: Attach this to a unit you control.)
[ASSAULT 2] (+2 Might while I'm attacking.)
Might +0</t>
        </is>
      </c>
      <c r="K137" s="428" t="inlineStr">
        <is>
          <t>Draven SB(2)</t>
        </is>
      </c>
    </row>
    <row r="138" ht="15" customHeight="1">
      <c r="A138" s="57" t="inlineStr">
        <is>
          <t>SFD-010</t>
        </is>
      </c>
      <c r="B138" s="57" t="n">
        <v>3</v>
      </c>
      <c r="C138" s="57" t="inlineStr">
        <is>
          <t>Void Drone</t>
        </is>
      </c>
      <c r="D138" s="57" t="inlineStr">
        <is>
          <t>Fury</t>
        </is>
      </c>
      <c r="E138" s="57" t="inlineStr">
        <is>
          <t>Unit</t>
        </is>
      </c>
      <c r="F138" s="57" t="inlineStr">
        <is>
          <t>3</t>
        </is>
      </c>
      <c r="G138" s="57" t="inlineStr">
        <is>
          <t>3</t>
        </is>
      </c>
      <c r="H138" s="57" t="inlineStr">
        <is>
          <t>Common</t>
        </is>
      </c>
      <c r="I138" s="57" t="inlineStr">
        <is>
          <t>The Void</t>
        </is>
      </c>
      <c r="J138" s="3" t="inlineStr">
        <is>
          <t>I cost 2 less to play from anywhere other than your hand.</t>
        </is>
      </c>
      <c r="K138" s="710" t="n"/>
    </row>
    <row r="139" ht="15" customHeight="1">
      <c r="A139" s="57" t="inlineStr">
        <is>
          <t>SFD-011</t>
        </is>
      </c>
      <c r="B139" s="57" t="n">
        <v>3</v>
      </c>
      <c r="C139" s="57" t="inlineStr">
        <is>
          <t>Angle Shot</t>
        </is>
      </c>
      <c r="D139" s="57" t="inlineStr">
        <is>
          <t>Fury</t>
        </is>
      </c>
      <c r="E139" s="57" t="inlineStr">
        <is>
          <t>Spell</t>
        </is>
      </c>
      <c r="F139" s="57" t="inlineStr">
        <is>
          <t>3</t>
        </is>
      </c>
      <c r="G139" s="57" t="inlineStr"/>
      <c r="H139" s="57" t="inlineStr">
        <is>
          <t>Uncommon</t>
        </is>
      </c>
      <c r="I139" s="57" t="inlineStr"/>
      <c r="J139" s="3" t="inlineStr">
        <is>
          <t>[REACTION] (Play any time, even before spells and abilities resolve.)
Choose a unit and an Equipment with the same controller. Attach that Equipment to that unit or detach that Equipment from that unit. Draw 1.</t>
        </is>
      </c>
      <c r="K139" s="428" t="inlineStr">
        <is>
          <t>Draven(1)</t>
        </is>
      </c>
    </row>
    <row r="140" ht="15" customHeight="1">
      <c r="A140" s="57" t="inlineStr">
        <is>
          <t>SFD-012</t>
        </is>
      </c>
      <c r="B140" s="57" t="n">
        <v>3</v>
      </c>
      <c r="C140" s="57" t="inlineStr">
        <is>
          <t>Battering Ram</t>
        </is>
      </c>
      <c r="D140" s="57" t="inlineStr">
        <is>
          <t>Fury</t>
        </is>
      </c>
      <c r="E140" s="57" t="inlineStr">
        <is>
          <t>Unit</t>
        </is>
      </c>
      <c r="F140" s="57" t="inlineStr">
        <is>
          <t>5</t>
        </is>
      </c>
      <c r="G140" s="57" t="inlineStr">
        <is>
          <t>5</t>
        </is>
      </c>
      <c r="H140" s="57" t="inlineStr">
        <is>
          <t>Uncommon</t>
        </is>
      </c>
      <c r="I140" s="57" t="inlineStr">
        <is>
          <t>Noxus;Trifarian</t>
        </is>
      </c>
      <c r="J140" s="3" t="inlineStr">
        <is>
          <t>I cost 1 less for each card you've played this turn, to a minimum of 1.</t>
        </is>
      </c>
      <c r="K140" s="428" t="inlineStr">
        <is>
          <t>Draven(3)</t>
        </is>
      </c>
    </row>
    <row r="141" ht="15" customHeight="1">
      <c r="A141" s="57" t="inlineStr">
        <is>
          <t>SFD-013</t>
        </is>
      </c>
      <c r="B141" s="57" t="n">
        <v>2</v>
      </c>
      <c r="C141" s="57" t="inlineStr">
        <is>
          <t>Blast Corps Cadet</t>
        </is>
      </c>
      <c r="D141" s="57" t="inlineStr">
        <is>
          <t>Fury</t>
        </is>
      </c>
      <c r="E141" s="57" t="inlineStr">
        <is>
          <t>Unit</t>
        </is>
      </c>
      <c r="F141" s="57" t="inlineStr">
        <is>
          <t>2</t>
        </is>
      </c>
      <c r="G141" s="57" t="inlineStr">
        <is>
          <t>2</t>
        </is>
      </c>
      <c r="H141" s="57" t="inlineStr">
        <is>
          <t>Uncommon</t>
        </is>
      </c>
      <c r="I141" s="57" t="inlineStr">
        <is>
          <t>Piltover</t>
        </is>
      </c>
      <c r="J141" s="3" t="inlineStr">
        <is>
          <t>You may pay 1 and Fury as an additional cost to play me.
When you play me, if you paid the additional cost, deal 2 to a unit at a battlefield.</t>
        </is>
      </c>
      <c r="K141" s="428" t="inlineStr">
        <is>
          <t>Draven(2)</t>
        </is>
      </c>
    </row>
    <row r="142" ht="15" customHeight="1">
      <c r="A142" s="57" t="inlineStr">
        <is>
          <t>SFD-014</t>
        </is>
      </c>
      <c r="B142" s="57" t="n">
        <v>3</v>
      </c>
      <c r="C142" s="57" t="inlineStr">
        <is>
          <t>Minotaur Reckoner</t>
        </is>
      </c>
      <c r="D142" s="57" t="inlineStr">
        <is>
          <t>Fury</t>
        </is>
      </c>
      <c r="E142" s="57" t="inlineStr">
        <is>
          <t>Unit</t>
        </is>
      </c>
      <c r="F142" s="57" t="inlineStr">
        <is>
          <t>5</t>
        </is>
      </c>
      <c r="G142" s="57" t="inlineStr">
        <is>
          <t>5</t>
        </is>
      </c>
      <c r="H142" s="57" t="inlineStr">
        <is>
          <t>Uncommon</t>
        </is>
      </c>
      <c r="I142" s="57" t="inlineStr">
        <is>
          <t>Noxus</t>
        </is>
      </c>
      <c r="J142" s="3" t="inlineStr">
        <is>
          <t>Units can't move to base.</t>
        </is>
      </c>
      <c r="K142" s="428" t="inlineStr">
        <is>
          <t>Draven(3)</t>
        </is>
      </c>
    </row>
    <row r="143" ht="15" customHeight="1">
      <c r="A143" s="57" t="inlineStr">
        <is>
          <t>SFD-015</t>
        </is>
      </c>
      <c r="B143" s="57" t="n">
        <v>1</v>
      </c>
      <c r="C143" s="57" t="inlineStr">
        <is>
          <t>Perched Grimwyrm</t>
        </is>
      </c>
      <c r="D143" s="57" t="inlineStr">
        <is>
          <t>Fury</t>
        </is>
      </c>
      <c r="E143" s="57" t="inlineStr">
        <is>
          <t>Unit</t>
        </is>
      </c>
      <c r="F143" s="57" t="inlineStr">
        <is>
          <t>4</t>
        </is>
      </c>
      <c r="G143" s="57" t="inlineStr">
        <is>
          <t>5</t>
        </is>
      </c>
      <c r="H143" s="57" t="inlineStr">
        <is>
          <t>Uncommon</t>
        </is>
      </c>
      <c r="I143" s="57" t="inlineStr">
        <is>
          <t>Dragon;Shadow Isles</t>
        </is>
      </c>
      <c r="J143" s="3" t="inlineStr">
        <is>
          <t>Play me only to a battlefield you conquered this turn. (You can't play me anywhere else.)</t>
        </is>
      </c>
      <c r="K143" s="667" t="n"/>
    </row>
    <row r="144" ht="15" customHeight="1">
      <c r="A144" s="57" t="inlineStr">
        <is>
          <t>SFD-016</t>
        </is>
      </c>
      <c r="B144" s="57" t="n">
        <v>1</v>
      </c>
      <c r="C144" s="57" t="inlineStr">
        <is>
          <t>Recurve Bow</t>
        </is>
      </c>
      <c r="D144" s="57" t="inlineStr">
        <is>
          <t>Fury</t>
        </is>
      </c>
      <c r="E144" s="57" t="inlineStr">
        <is>
          <t>Gear</t>
        </is>
      </c>
      <c r="F144" s="57" t="inlineStr">
        <is>
          <t>2</t>
        </is>
      </c>
      <c r="G144" s="57" t="inlineStr"/>
      <c r="H144" s="57" t="inlineStr">
        <is>
          <t>Uncommon</t>
        </is>
      </c>
      <c r="I144" s="57" t="inlineStr">
        <is>
          <t>Equipment</t>
        </is>
      </c>
      <c r="J144" s="3" t="inlineStr">
        <is>
          <t>[EQUIP Fury] (Fury: Attach this to a unit you control.)
When I attack or defend, deal 2 to an enemy unit here.
Might +0</t>
        </is>
      </c>
      <c r="K144" s="667" t="n"/>
    </row>
    <row r="145" ht="15" customHeight="1">
      <c r="A145" s="57" t="inlineStr">
        <is>
          <t>SFD-019</t>
        </is>
      </c>
      <c r="B145" s="57" t="n">
        <v>1</v>
      </c>
      <c r="C145" s="57" t="inlineStr">
        <is>
          <t>Assembly Rig</t>
        </is>
      </c>
      <c r="D145" s="57" t="inlineStr">
        <is>
          <t>Fury</t>
        </is>
      </c>
      <c r="E145" s="57" t="inlineStr">
        <is>
          <t>Gear</t>
        </is>
      </c>
      <c r="F145" s="57" t="inlineStr">
        <is>
          <t>4</t>
        </is>
      </c>
      <c r="G145" s="57" t="inlineStr"/>
      <c r="H145" s="57" t="inlineStr">
        <is>
          <t>Rare</t>
        </is>
      </c>
      <c r="I145" s="57" t="inlineStr"/>
      <c r="J145" s="3" t="inlineStr">
        <is>
          <t>1, Fury, Recycle a unit from your trash, Exhaust: Play a 3 Might Mech unit token to your base.</t>
        </is>
      </c>
      <c r="K145" s="667" t="n"/>
    </row>
    <row r="146" ht="15" customHeight="1">
      <c r="A146" s="57" t="inlineStr">
        <is>
          <t>SFD-020</t>
        </is>
      </c>
      <c r="B146" s="57" t="n">
        <v>1</v>
      </c>
      <c r="C146" s="57" t="inlineStr">
        <is>
          <t>Draven - Vanquisher</t>
        </is>
      </c>
      <c r="D146" s="57" t="inlineStr">
        <is>
          <t>Fury</t>
        </is>
      </c>
      <c r="E146" s="57" t="inlineStr">
        <is>
          <t>Champion Unit</t>
        </is>
      </c>
      <c r="F146" s="57" t="inlineStr">
        <is>
          <t>4</t>
        </is>
      </c>
      <c r="G146" s="57" t="inlineStr">
        <is>
          <t>4</t>
        </is>
      </c>
      <c r="H146" s="57" t="inlineStr">
        <is>
          <t>Rare</t>
        </is>
      </c>
      <c r="I146" s="57" t="inlineStr">
        <is>
          <t>Noxus;Draven</t>
        </is>
      </c>
      <c r="J146" s="3" t="inlineStr">
        <is>
          <t>When I win a combat, play a Gold gear token exhausted. When I attack or defend, you may pay Fury. If you do, give me +2 Might this turn.</t>
        </is>
      </c>
      <c r="K146" s="667" t="n"/>
    </row>
    <row r="147" ht="15" customHeight="1">
      <c r="A147" s="57" t="inlineStr">
        <is>
          <t>SFD-021</t>
        </is>
      </c>
      <c r="B147" s="57" t="n">
        <v>3</v>
      </c>
      <c r="C147" s="57" t="inlineStr">
        <is>
          <t>Ferrous Forerunner</t>
        </is>
      </c>
      <c r="D147" s="57" t="inlineStr">
        <is>
          <t>Fury</t>
        </is>
      </c>
      <c r="E147" s="57" t="inlineStr">
        <is>
          <t>Unit</t>
        </is>
      </c>
      <c r="F147" s="57" t="inlineStr">
        <is>
          <t>6</t>
        </is>
      </c>
      <c r="G147" s="57" t="inlineStr">
        <is>
          <t>6</t>
        </is>
      </c>
      <c r="H147" s="57" t="inlineStr">
        <is>
          <t>Rare</t>
        </is>
      </c>
      <c r="I147" s="57" t="inlineStr">
        <is>
          <t>Bandle City;Mech;Yordle</t>
        </is>
      </c>
      <c r="J147" s="3" t="inlineStr">
        <is>
          <t>[DEATHKNELL] — Play two 3 Might Mech unit tokens to your base. (When I die, get the effect.)</t>
        </is>
      </c>
      <c r="K147" s="428" t="inlineStr">
        <is>
          <t>Voli(3)</t>
        </is>
      </c>
    </row>
    <row r="148" ht="15" customHeight="1">
      <c r="A148" s="57" t="inlineStr">
        <is>
          <t>SFD-022</t>
        </is>
      </c>
      <c r="B148" s="57" t="n">
        <v>2</v>
      </c>
      <c r="C148" s="57" t="inlineStr">
        <is>
          <t>Long Sword</t>
        </is>
      </c>
      <c r="D148" s="57" t="inlineStr">
        <is>
          <t>Fury</t>
        </is>
      </c>
      <c r="E148" s="57" t="inlineStr">
        <is>
          <t>Gear</t>
        </is>
      </c>
      <c r="F148" s="57" t="inlineStr">
        <is>
          <t>2</t>
        </is>
      </c>
      <c r="G148" s="57" t="inlineStr">
        <is>
          <t>0</t>
        </is>
      </c>
      <c r="H148" s="57" t="inlineStr">
        <is>
          <t>Rare</t>
        </is>
      </c>
      <c r="I148" s="57" t="inlineStr">
        <is>
          <t>Equipment</t>
        </is>
      </c>
      <c r="J148" s="3" t="inlineStr">
        <is>
          <t>[QUICK-DRAW] (This has REACTION. When you play it, attach it to a unit you control.)
[EQUIP Fury] (Fury: Attach this to a unit you control.)
Might +2</t>
        </is>
      </c>
      <c r="K148" s="667" t="n"/>
    </row>
    <row r="149" ht="15" customHeight="1">
      <c r="A149" s="57" t="inlineStr">
        <is>
          <t>SFD-024</t>
        </is>
      </c>
      <c r="B149" s="57" t="n">
        <v>3</v>
      </c>
      <c r="C149" s="57" t="inlineStr">
        <is>
          <t>Rell - Magnetic</t>
        </is>
      </c>
      <c r="D149" s="57" t="inlineStr">
        <is>
          <t>Fury</t>
        </is>
      </c>
      <c r="E149" s="57" t="inlineStr">
        <is>
          <t>Champion Unit</t>
        </is>
      </c>
      <c r="F149" s="57" t="inlineStr">
        <is>
          <t>4</t>
        </is>
      </c>
      <c r="G149" s="57" t="inlineStr"/>
      <c r="H149" s="57" t="inlineStr">
        <is>
          <t>Rare</t>
        </is>
      </c>
      <c r="I149" s="57" t="inlineStr">
        <is>
          <t>Noxus</t>
        </is>
      </c>
      <c r="J149" s="3" t="inlineStr">
        <is>
          <t>[TANK] (I must be assigned combat damage first.)
When I attack, you may play an Equipment with Energy cost no more than 2, ignoring its cost, and attach it to me.</t>
        </is>
      </c>
      <c r="K149" s="667" t="n"/>
    </row>
    <row r="150" ht="15" customHeight="1">
      <c r="A150" s="57" t="inlineStr">
        <is>
          <t>SFD-025</t>
        </is>
      </c>
      <c r="B150" s="57" t="n">
        <v>1</v>
      </c>
      <c r="C150" s="57" t="inlineStr">
        <is>
          <t>Rengar - Pouncing</t>
        </is>
      </c>
      <c r="D150" s="57" t="inlineStr">
        <is>
          <t>Fury</t>
        </is>
      </c>
      <c r="E150" s="57" t="inlineStr">
        <is>
          <t>Champion Unit</t>
        </is>
      </c>
      <c r="F150" s="57" t="inlineStr">
        <is>
          <t>3</t>
        </is>
      </c>
      <c r="G150" s="57" t="inlineStr">
        <is>
          <t>3</t>
        </is>
      </c>
      <c r="H150" s="57" t="inlineStr">
        <is>
          <t>Rare</t>
        </is>
      </c>
      <c r="I150" s="57" t="inlineStr">
        <is>
          <t>Cat;Ixtal;Rengar</t>
        </is>
      </c>
      <c r="J150" s="3" t="inlineStr">
        <is>
          <t>[REACTION] (Play any time, even before spells and abilities resolve, including to a battlefield you control.) [ASSAULT 2] (+2 Might while I'm an attacker.) I can be played to a battlefield you're attacking.</t>
        </is>
      </c>
      <c r="K150" s="667" t="n"/>
    </row>
    <row r="151" ht="15" customHeight="1">
      <c r="A151" s="57" t="inlineStr">
        <is>
          <t>SFD-026</t>
        </is>
      </c>
      <c r="B151" s="57" t="n">
        <v>2</v>
      </c>
      <c r="C151" s="57" t="inlineStr">
        <is>
          <t>Rumble - Hotheaded</t>
        </is>
      </c>
      <c r="D151" s="57" t="inlineStr">
        <is>
          <t>Fury</t>
        </is>
      </c>
      <c r="E151" s="57" t="inlineStr">
        <is>
          <t>Champion Unit</t>
        </is>
      </c>
      <c r="F151" s="57" t="inlineStr">
        <is>
          <t>4</t>
        </is>
      </c>
      <c r="G151" s="57" t="inlineStr">
        <is>
          <t>4</t>
        </is>
      </c>
      <c r="H151" s="57" t="inlineStr">
        <is>
          <t>Rare</t>
        </is>
      </c>
      <c r="I151" s="57" t="inlineStr">
        <is>
          <t>Bandle City;Mech;Yordle;Rumble</t>
        </is>
      </c>
      <c r="J151" s="3" t="inlineStr">
        <is>
          <t>Your Mechs each have [ASSAULT]. (+1  while we're attackers.)
When I conquer, you may recycle another friendly unit to play a Mech from your trash. Reduce its Energy cost by the Might of the unit you recycled.</t>
        </is>
      </c>
      <c r="K151" s="667" t="n"/>
    </row>
    <row r="152" ht="15" customHeight="1">
      <c r="A152" s="57" t="inlineStr">
        <is>
          <t>SFD-030</t>
        </is>
      </c>
      <c r="B152" s="57" t="n">
        <v>1</v>
      </c>
      <c r="C152" s="57" t="inlineStr">
        <is>
          <t>Skyfall of Areion</t>
        </is>
      </c>
      <c r="D152" s="57" t="inlineStr">
        <is>
          <t>Fury</t>
        </is>
      </c>
      <c r="E152" s="57" t="inlineStr">
        <is>
          <t>Gear</t>
        </is>
      </c>
      <c r="F152" s="57" t="inlineStr">
        <is>
          <t>3</t>
        </is>
      </c>
      <c r="G152" s="57" t="inlineStr"/>
      <c r="H152" s="57" t="inlineStr">
        <is>
          <t>Epic</t>
        </is>
      </c>
      <c r="I152" s="57" t="inlineStr">
        <is>
          <t>Equipment</t>
        </is>
      </c>
      <c r="J152" s="3" t="inlineStr">
        <is>
          <t>[EQUIP 1, Fury] (1, Fury: Attach this to a unit you control.) My hold effects are also conquer effects, and vice verse. Might +2</t>
        </is>
      </c>
      <c r="K152" s="667" t="n"/>
    </row>
    <row r="153" ht="15" customHeight="1">
      <c r="A153" s="49" t="inlineStr">
        <is>
          <t>SFD-031</t>
        </is>
      </c>
      <c r="B153" s="49" t="n">
        <v>3</v>
      </c>
      <c r="C153" s="49" t="inlineStr">
        <is>
          <t>Desert's Call</t>
        </is>
      </c>
      <c r="D153" s="49" t="inlineStr">
        <is>
          <t>Calm</t>
        </is>
      </c>
      <c r="E153" s="49" t="inlineStr">
        <is>
          <t>Spell</t>
        </is>
      </c>
      <c r="F153" s="49" t="inlineStr">
        <is>
          <t>2</t>
        </is>
      </c>
      <c r="G153" s="49" t="inlineStr"/>
      <c r="H153" s="49" t="inlineStr">
        <is>
          <t>Common</t>
        </is>
      </c>
      <c r="I153" s="49" t="inlineStr"/>
      <c r="J153" s="5" t="inlineStr">
        <is>
          <t>[REPEAT 2] (You may pay the additional cost to repeat this spell's effect)
Play a 2 Might Sand Soldier unit token.</t>
        </is>
      </c>
      <c r="K153" s="428" t="inlineStr">
        <is>
          <t>Azir(3)</t>
        </is>
      </c>
    </row>
    <row r="154" ht="15" customHeight="1">
      <c r="A154" s="49" t="inlineStr">
        <is>
          <t>SFD-032</t>
        </is>
      </c>
      <c r="B154" s="49" t="n">
        <v>3</v>
      </c>
      <c r="C154" s="49" t="inlineStr">
        <is>
          <t>Disarming Rake</t>
        </is>
      </c>
      <c r="D154" s="49" t="inlineStr">
        <is>
          <t>Calm</t>
        </is>
      </c>
      <c r="E154" s="49" t="inlineStr">
        <is>
          <t>Unit</t>
        </is>
      </c>
      <c r="F154" s="49" t="inlineStr">
        <is>
          <t>3</t>
        </is>
      </c>
      <c r="G154" s="49" t="inlineStr">
        <is>
          <t>2</t>
        </is>
      </c>
      <c r="H154" s="49" t="inlineStr">
        <is>
          <t>Common</t>
        </is>
      </c>
      <c r="I154" s="49" t="inlineStr">
        <is>
          <t>Demacia</t>
        </is>
      </c>
      <c r="J154" s="5" t="inlineStr">
        <is>
          <t>When you play me, you may kill a gear.</t>
        </is>
      </c>
      <c r="K154" s="667" t="n"/>
    </row>
    <row r="155" ht="15" customHeight="1">
      <c r="A155" s="49" t="inlineStr">
        <is>
          <t>SFD-033</t>
        </is>
      </c>
      <c r="B155" s="49" t="n">
        <v>3</v>
      </c>
      <c r="C155" s="49" t="inlineStr">
        <is>
          <t>Doran's Shield</t>
        </is>
      </c>
      <c r="D155" s="49" t="inlineStr">
        <is>
          <t>Calm</t>
        </is>
      </c>
      <c r="E155" s="49" t="inlineStr">
        <is>
          <t>Gear</t>
        </is>
      </c>
      <c r="F155" s="49" t="inlineStr">
        <is>
          <t>1</t>
        </is>
      </c>
      <c r="G155" s="49" t="inlineStr">
        <is>
          <t>0</t>
        </is>
      </c>
      <c r="H155" s="49" t="inlineStr">
        <is>
          <t>Common</t>
        </is>
      </c>
      <c r="I155" s="49" t="inlineStr">
        <is>
          <t>Equipment</t>
        </is>
      </c>
      <c r="J155" s="5" t="inlineStr">
        <is>
          <t>[EQUIP Calm] (Calm: Attach this to a unit you control.)
TANK (I must be assigned combat damage first.) +1 Might</t>
        </is>
      </c>
      <c r="K155" s="428" t="inlineStr">
        <is>
          <t>Azir(3)</t>
        </is>
      </c>
    </row>
    <row r="156" ht="15" customHeight="1">
      <c r="A156" s="49" t="inlineStr">
        <is>
          <t>SFD-034</t>
        </is>
      </c>
      <c r="B156" s="49" t="n">
        <v>3</v>
      </c>
      <c r="C156" s="49" t="inlineStr">
        <is>
          <t>Feral Strength</t>
        </is>
      </c>
      <c r="D156" s="49" t="inlineStr">
        <is>
          <t>Calm</t>
        </is>
      </c>
      <c r="E156" s="49" t="inlineStr">
        <is>
          <t>Spell</t>
        </is>
      </c>
      <c r="F156" s="49" t="inlineStr">
        <is>
          <t>2</t>
        </is>
      </c>
      <c r="G156" s="49" t="inlineStr">
        <is>
          <t>0</t>
        </is>
      </c>
      <c r="H156" s="49" t="inlineStr">
        <is>
          <t>Common</t>
        </is>
      </c>
      <c r="I156" s="49" t="inlineStr"/>
      <c r="J156" s="5" t="inlineStr">
        <is>
          <t>REACTION (Play any time, even before spells and abilities resolve.)
[REPEAT 2] (You may pay the additional cost to repeat this spell's effect.)
Give a unit +2 Might this turn.</t>
        </is>
      </c>
      <c r="K156" s="428" t="inlineStr">
        <is>
          <t>Azir(1)</t>
        </is>
      </c>
    </row>
    <row r="157" ht="15" customHeight="1">
      <c r="A157" s="49" t="inlineStr">
        <is>
          <t>SFD-035</t>
        </is>
      </c>
      <c r="B157" s="49" t="n">
        <v>1</v>
      </c>
      <c r="C157" s="49" t="inlineStr">
        <is>
          <t>Guardian of the Passage</t>
        </is>
      </c>
      <c r="D157" s="49" t="inlineStr">
        <is>
          <t>Calm</t>
        </is>
      </c>
      <c r="E157" s="49" t="inlineStr">
        <is>
          <t>Unit</t>
        </is>
      </c>
      <c r="F157" s="49" t="inlineStr">
        <is>
          <t>6</t>
        </is>
      </c>
      <c r="G157" s="49" t="inlineStr">
        <is>
          <t>6</t>
        </is>
      </c>
      <c r="H157" s="49" t="inlineStr">
        <is>
          <t>Common</t>
        </is>
      </c>
      <c r="I157" s="49" t="inlineStr">
        <is>
          <t>Shadow Isles;Spirit</t>
        </is>
      </c>
      <c r="J157" s="5" t="inlineStr">
        <is>
          <t>When I hold, you may return a unit or gear from your trash to your hand.</t>
        </is>
      </c>
      <c r="K157" s="667" t="n"/>
    </row>
    <row r="158" ht="15" customHeight="1">
      <c r="A158" s="49" t="inlineStr">
        <is>
          <t>SFD-036</t>
        </is>
      </c>
      <c r="B158" s="49" t="n">
        <v>1</v>
      </c>
      <c r="C158" s="49" t="inlineStr">
        <is>
          <t>Lonely Poro</t>
        </is>
      </c>
      <c r="D158" s="49" t="inlineStr">
        <is>
          <t>Calm</t>
        </is>
      </c>
      <c r="E158" s="49" t="inlineStr">
        <is>
          <t>Unit</t>
        </is>
      </c>
      <c r="F158" s="49" t="inlineStr">
        <is>
          <t>2</t>
        </is>
      </c>
      <c r="G158" s="49" t="inlineStr">
        <is>
          <t>2</t>
        </is>
      </c>
      <c r="H158" s="49" t="inlineStr">
        <is>
          <t>Common</t>
        </is>
      </c>
      <c r="I158" s="49" t="inlineStr">
        <is>
          <t>Freljord;Poro</t>
        </is>
      </c>
      <c r="J158" s="5" t="inlineStr">
        <is>
          <t>[DEATHKNELL] — If I died alone, draw 1. (When I die, get the effect. I'm alone if there are no other friendly units here.)</t>
        </is>
      </c>
      <c r="K158" s="667" t="n"/>
    </row>
    <row r="159" ht="15" customHeight="1">
      <c r="A159" s="49" t="inlineStr">
        <is>
          <t>SFD-037</t>
        </is>
      </c>
      <c r="B159" s="49" t="n">
        <v>2</v>
      </c>
      <c r="C159" s="49" t="inlineStr">
        <is>
          <t>Navori Scout</t>
        </is>
      </c>
      <c r="D159" s="49" t="inlineStr">
        <is>
          <t>Calm</t>
        </is>
      </c>
      <c r="E159" s="49" t="inlineStr">
        <is>
          <t>Unit</t>
        </is>
      </c>
      <c r="F159" s="49" t="inlineStr">
        <is>
          <t>4</t>
        </is>
      </c>
      <c r="G159" s="49" t="inlineStr">
        <is>
          <t>4</t>
        </is>
      </c>
      <c r="H159" s="49" t="inlineStr">
        <is>
          <t>Common</t>
        </is>
      </c>
      <c r="I159" s="49" t="inlineStr">
        <is>
          <t>Ionia;Yordle</t>
        </is>
      </c>
      <c r="J159" s="5" t="inlineStr">
        <is>
          <t>[DEFLECT] (Opponents must pay Rune to choose me with a spell or ability.)</t>
        </is>
      </c>
      <c r="K159" s="667" t="n"/>
    </row>
    <row r="160" ht="15" customHeight="1">
      <c r="A160" s="49" t="inlineStr">
        <is>
          <t>SFD-038</t>
        </is>
      </c>
      <c r="B160" s="49" t="n">
        <v>3</v>
      </c>
      <c r="C160" s="49" t="inlineStr">
        <is>
          <t>Ribbon Dancer</t>
        </is>
      </c>
      <c r="D160" s="49" t="inlineStr">
        <is>
          <t>Calm</t>
        </is>
      </c>
      <c r="E160" s="49" t="inlineStr">
        <is>
          <t>Unit</t>
        </is>
      </c>
      <c r="F160" s="49" t="inlineStr">
        <is>
          <t>3</t>
        </is>
      </c>
      <c r="G160" s="49" t="inlineStr">
        <is>
          <t>3</t>
        </is>
      </c>
      <c r="H160" s="49" t="inlineStr">
        <is>
          <t>Common</t>
        </is>
      </c>
      <c r="I160" s="49" t="inlineStr">
        <is>
          <t>Ionia</t>
        </is>
      </c>
      <c r="J160" s="5" t="inlineStr">
        <is>
          <t>When I move to a battlefield, give another friendly unit +1 Might this turn.</t>
        </is>
      </c>
      <c r="K160" s="428" t="inlineStr">
        <is>
          <t>Azir(3)</t>
        </is>
      </c>
    </row>
    <row r="161" ht="15" customHeight="1">
      <c r="A161" s="49" t="inlineStr">
        <is>
          <t>SFD-039</t>
        </is>
      </c>
      <c r="B161" s="49" t="n">
        <v>3</v>
      </c>
      <c r="C161" s="49" t="inlineStr">
        <is>
          <t>Royal Entourage</t>
        </is>
      </c>
      <c r="D161" s="49" t="inlineStr">
        <is>
          <t>Calm</t>
        </is>
      </c>
      <c r="E161" s="49" t="inlineStr">
        <is>
          <t>Unit</t>
        </is>
      </c>
      <c r="F161" s="49" t="inlineStr">
        <is>
          <t>3</t>
        </is>
      </c>
      <c r="G161" s="49" t="inlineStr">
        <is>
          <t>4</t>
        </is>
      </c>
      <c r="H161" s="49" t="inlineStr">
        <is>
          <t>Common</t>
        </is>
      </c>
      <c r="I161" s="49" t="inlineStr">
        <is>
          <t>Shurima</t>
        </is>
      </c>
      <c r="J161" s="5" t="inlineStr">
        <is>
          <t>When you play me, ready or exhaust a legend.</t>
        </is>
      </c>
      <c r="K161" s="428" t="inlineStr">
        <is>
          <t>Azir(3)</t>
        </is>
      </c>
    </row>
    <row r="162" ht="15" customHeight="1">
      <c r="A162" s="49" t="inlineStr">
        <is>
          <t>SFD-040</t>
        </is>
      </c>
      <c r="B162" s="49" t="n">
        <v>3</v>
      </c>
      <c r="C162" s="49" t="inlineStr">
        <is>
          <t>Thwonk!</t>
        </is>
      </c>
      <c r="D162" s="49" t="inlineStr">
        <is>
          <t>Calm</t>
        </is>
      </c>
      <c r="E162" s="49" t="inlineStr">
        <is>
          <t>Spell</t>
        </is>
      </c>
      <c r="F162" s="49" t="inlineStr">
        <is>
          <t>2</t>
        </is>
      </c>
      <c r="G162" s="49" t="inlineStr"/>
      <c r="H162" s="49" t="inlineStr">
        <is>
          <t>Common</t>
        </is>
      </c>
      <c r="I162" s="49" t="inlineStr"/>
      <c r="J162" s="5" t="inlineStr">
        <is>
          <t>[ACTION] (Play on your turn or in showdowns.)
[REPEAT]  (You may pay the additional cost to repeat this spell's effect.)
Stun an attacking unit. (It doesn't deal combat damage this turn.)</t>
        </is>
      </c>
      <c r="K162" s="667" t="n"/>
    </row>
    <row r="163" ht="15" customHeight="1">
      <c r="A163" s="49" t="inlineStr">
        <is>
          <t>SFD-041</t>
        </is>
      </c>
      <c r="B163" s="49" t="n">
        <v>2</v>
      </c>
      <c r="C163" s="49" t="inlineStr">
        <is>
          <t>Apprentice Smith</t>
        </is>
      </c>
      <c r="D163" s="49" t="inlineStr">
        <is>
          <t>Calm</t>
        </is>
      </c>
      <c r="E163" s="49" t="inlineStr">
        <is>
          <t>Unit</t>
        </is>
      </c>
      <c r="F163" s="49" t="inlineStr">
        <is>
          <t>2</t>
        </is>
      </c>
      <c r="G163" s="49" t="inlineStr">
        <is>
          <t>2</t>
        </is>
      </c>
      <c r="H163" s="49" t="inlineStr">
        <is>
          <t>Uncommon</t>
        </is>
      </c>
      <c r="I163" s="49" t="inlineStr">
        <is>
          <t>Freljord</t>
        </is>
      </c>
      <c r="J163" s="5" t="inlineStr">
        <is>
          <t>When I move, reveal the top card of your Main Deck. If it's a gear, draw it. Otherwise, recycle it.</t>
        </is>
      </c>
      <c r="K163" s="667" t="n"/>
    </row>
    <row r="164" ht="15" customHeight="1">
      <c r="A164" s="49" t="inlineStr">
        <is>
          <t>SFD-043</t>
        </is>
      </c>
      <c r="B164" s="49" t="n">
        <v>3</v>
      </c>
      <c r="C164" s="49" t="inlineStr">
        <is>
          <t>Emperor's Divide</t>
        </is>
      </c>
      <c r="D164" s="49" t="inlineStr">
        <is>
          <t>Calm</t>
        </is>
      </c>
      <c r="E164" s="49" t="inlineStr">
        <is>
          <t>Spell</t>
        </is>
      </c>
      <c r="F164" s="49" t="inlineStr">
        <is>
          <t>2</t>
        </is>
      </c>
      <c r="G164" s="49" t="inlineStr"/>
      <c r="H164" s="49" t="inlineStr">
        <is>
          <t>Uncommon</t>
        </is>
      </c>
      <c r="I164" s="49" t="inlineStr">
        <is>
          <t>None</t>
        </is>
      </c>
      <c r="J164" s="5" t="inlineStr">
        <is>
          <t>[HIDDEN] (Hide for now Rune to react with later for 0.)
[ACTION] (Play on your turn or in showdowns.)
Move any number of friendly units at a battlefield on their base.</t>
        </is>
      </c>
      <c r="K164" s="428" t="inlineStr">
        <is>
          <t>Azir(3)</t>
        </is>
      </c>
    </row>
    <row r="165" ht="15" customHeight="1">
      <c r="A165" s="49" t="inlineStr">
        <is>
          <t>SFD-045</t>
        </is>
      </c>
      <c r="B165" s="49" t="n">
        <v>2</v>
      </c>
      <c r="C165" s="49" t="inlineStr">
        <is>
          <t>Not So Fast</t>
        </is>
      </c>
      <c r="D165" s="49" t="inlineStr">
        <is>
          <t>Calm</t>
        </is>
      </c>
      <c r="E165" s="49" t="inlineStr">
        <is>
          <t>Spell</t>
        </is>
      </c>
      <c r="F165" s="49" t="inlineStr">
        <is>
          <t>2</t>
        </is>
      </c>
      <c r="G165" s="49" t="inlineStr">
        <is>
          <t>0</t>
        </is>
      </c>
      <c r="H165" s="49" t="inlineStr">
        <is>
          <t>Uncommon</t>
        </is>
      </c>
      <c r="I165" s="49" t="inlineStr"/>
      <c r="J165" s="5" t="inlineStr">
        <is>
          <t>[REACTION] (Play any time, even before spells and abilities resolve.)
Counter an enemy spell or ability that chooses a friendly unit or gear.</t>
        </is>
      </c>
      <c r="K165" s="667" t="n"/>
    </row>
    <row r="166" ht="15" customHeight="1">
      <c r="A166" s="49" t="inlineStr">
        <is>
          <t>SFD-047</t>
        </is>
      </c>
      <c r="B166" s="49" t="n">
        <v>2</v>
      </c>
      <c r="C166" s="49" t="inlineStr">
        <is>
          <t>Simian Ancestor</t>
        </is>
      </c>
      <c r="D166" s="49" t="inlineStr">
        <is>
          <t>Calm</t>
        </is>
      </c>
      <c r="E166" s="49" t="inlineStr">
        <is>
          <t>Unit</t>
        </is>
      </c>
      <c r="F166" s="49" t="inlineStr">
        <is>
          <t>5</t>
        </is>
      </c>
      <c r="G166" s="49" t="inlineStr">
        <is>
          <t>1</t>
        </is>
      </c>
      <c r="H166" s="49" t="inlineStr">
        <is>
          <t>Uncommon</t>
        </is>
      </c>
      <c r="I166" s="49" t="inlineStr">
        <is>
          <t>Ionia</t>
        </is>
      </c>
      <c r="J166" s="5" t="inlineStr">
        <is>
          <t>When you buff me, ready me.</t>
        </is>
      </c>
      <c r="K166" s="667" t="n"/>
    </row>
    <row r="167" ht="15" customHeight="1">
      <c r="A167" s="49" t="inlineStr">
        <is>
          <t>SFD-048</t>
        </is>
      </c>
      <c r="B167" s="49" t="n">
        <v>1</v>
      </c>
      <c r="C167" s="49" t="inlineStr">
        <is>
          <t>Stellacorn Herder</t>
        </is>
      </c>
      <c r="D167" s="49" t="inlineStr">
        <is>
          <t>Calm</t>
        </is>
      </c>
      <c r="E167" s="49" t="inlineStr">
        <is>
          <t>Unit</t>
        </is>
      </c>
      <c r="F167" s="49" t="inlineStr">
        <is>
          <t>4</t>
        </is>
      </c>
      <c r="G167" s="49" t="inlineStr">
        <is>
          <t>3</t>
        </is>
      </c>
      <c r="H167" s="49" t="inlineStr">
        <is>
          <t>Uncommon</t>
        </is>
      </c>
      <c r="I167" s="49" t="inlineStr">
        <is>
          <t>Mount Targon</t>
        </is>
      </c>
      <c r="J167" s="5" t="inlineStr">
        <is>
          <t>When I move, draw 1.</t>
        </is>
      </c>
      <c r="K167" s="667" t="n"/>
    </row>
    <row r="168" ht="15" customHeight="1">
      <c r="A168" s="49" t="inlineStr">
        <is>
          <t>SFD-050</t>
        </is>
      </c>
      <c r="B168" s="49" t="n">
        <v>1</v>
      </c>
      <c r="C168" s="49" t="inlineStr">
        <is>
          <t>Azir - Ascendant</t>
        </is>
      </c>
      <c r="D168" s="49" t="inlineStr">
        <is>
          <t>Calm</t>
        </is>
      </c>
      <c r="E168" s="49" t="inlineStr">
        <is>
          <t>Champion Unit</t>
        </is>
      </c>
      <c r="F168" s="49" t="inlineStr">
        <is>
          <t>6</t>
        </is>
      </c>
      <c r="G168" s="49" t="inlineStr">
        <is>
          <t>6</t>
        </is>
      </c>
      <c r="H168" s="49" t="inlineStr">
        <is>
          <t>Rare</t>
        </is>
      </c>
      <c r="I168" s="49" t="inlineStr">
        <is>
          <t>Bird;Shurima;Azir</t>
        </is>
      </c>
      <c r="J168" s="5" t="inlineStr">
        <is>
          <t>Calm: [ACTION] — Choose a unit you control. Move me to its location and it to my original location. If it's equipped, you may attach one of its Equipment to me. Use only once per turn.</t>
        </is>
      </c>
      <c r="K168" s="667" t="n"/>
    </row>
    <row r="169" ht="15" customHeight="1">
      <c r="A169" s="49" t="inlineStr">
        <is>
          <t>SFD-051</t>
        </is>
      </c>
      <c r="B169" s="49" t="n">
        <v>1</v>
      </c>
      <c r="C169" s="49" t="inlineStr">
        <is>
          <t>Guardian Angel</t>
        </is>
      </c>
      <c r="D169" s="49" t="inlineStr">
        <is>
          <t>Calm</t>
        </is>
      </c>
      <c r="E169" s="49" t="inlineStr">
        <is>
          <t>Gear</t>
        </is>
      </c>
      <c r="F169" s="49" t="inlineStr">
        <is>
          <t>2</t>
        </is>
      </c>
      <c r="G169" s="49" t="inlineStr">
        <is>
          <t>0</t>
        </is>
      </c>
      <c r="H169" s="49" t="inlineStr">
        <is>
          <t>Rare</t>
        </is>
      </c>
      <c r="I169" s="49" t="inlineStr">
        <is>
          <t>Equipment</t>
        </is>
      </c>
      <c r="J169" s="5" t="inlineStr">
        <is>
          <t>[EQUIP Calm] (Calm: Attach this to a unit you control.) If I would die, kill Guardian Angel instead. Heal me, Exhaust me, and recall me. Might +1</t>
        </is>
      </c>
      <c r="K169" s="428" t="inlineStr">
        <is>
          <t>Azir(1)</t>
        </is>
      </c>
    </row>
    <row r="170" ht="15" customHeight="1">
      <c r="A170" s="49" t="inlineStr">
        <is>
          <t>SFD-052</t>
        </is>
      </c>
      <c r="B170" s="49" t="n">
        <v>1</v>
      </c>
      <c r="C170" s="49" t="inlineStr">
        <is>
          <t>Heart of Dark Ice</t>
        </is>
      </c>
      <c r="D170" s="49" t="inlineStr">
        <is>
          <t>Calm</t>
        </is>
      </c>
      <c r="E170" s="49" t="inlineStr">
        <is>
          <t>Gear</t>
        </is>
      </c>
      <c r="F170" s="49" t="inlineStr">
        <is>
          <t>3</t>
        </is>
      </c>
      <c r="G170" s="49" t="inlineStr"/>
      <c r="H170" s="49" t="inlineStr">
        <is>
          <t>Rare</t>
        </is>
      </c>
      <c r="I170" s="49" t="inlineStr"/>
      <c r="J170" s="5" t="inlineStr">
        <is>
          <t>Exhaust: Give a unit +3 Might this turn.</t>
        </is>
      </c>
      <c r="K170" s="667" t="n"/>
    </row>
    <row r="171" ht="15" customHeight="1">
      <c r="A171" s="49" t="inlineStr">
        <is>
          <t>SFD-054</t>
        </is>
      </c>
      <c r="B171" s="49" t="n">
        <v>1</v>
      </c>
      <c r="C171" s="49" t="inlineStr">
        <is>
          <t>Jax - Unmatched</t>
        </is>
      </c>
      <c r="D171" s="49" t="inlineStr">
        <is>
          <t>Calm</t>
        </is>
      </c>
      <c r="E171" s="49" t="inlineStr">
        <is>
          <t>Champion Unit</t>
        </is>
      </c>
      <c r="F171" s="49" t="inlineStr">
        <is>
          <t>5</t>
        </is>
      </c>
      <c r="G171" s="49" t="inlineStr">
        <is>
          <t>5</t>
        </is>
      </c>
      <c r="H171" s="49" t="inlineStr">
        <is>
          <t>Rare</t>
        </is>
      </c>
      <c r="I171" s="49" t="inlineStr">
        <is>
          <t>Jax;Icathia</t>
        </is>
      </c>
      <c r="J171" s="5" t="inlineStr">
        <is>
          <t>[DEFLECT] (Opponents must pay 1 Rune to choose me with a spell or ability.) Each Equipment in your hand has [QUICK-DRAW]. (It gains [REACTION]. When you play it, attach it to a unit you control.)</t>
        </is>
      </c>
      <c r="K171" s="667" t="n"/>
    </row>
    <row r="172" ht="15" customHeight="1">
      <c r="A172" s="54" t="inlineStr">
        <is>
          <t>SFD-061</t>
        </is>
      </c>
      <c r="B172" s="54" t="n">
        <v>3</v>
      </c>
      <c r="C172" s="54" t="inlineStr">
        <is>
          <t>Aspiring Engineer</t>
        </is>
      </c>
      <c r="D172" s="54" t="inlineStr">
        <is>
          <t>Mind</t>
        </is>
      </c>
      <c r="E172" s="54" t="inlineStr">
        <is>
          <t>Unit</t>
        </is>
      </c>
      <c r="F172" s="54" t="inlineStr">
        <is>
          <t>3</t>
        </is>
      </c>
      <c r="G172" s="54" t="inlineStr">
        <is>
          <t>3</t>
        </is>
      </c>
      <c r="H172" s="54" t="inlineStr">
        <is>
          <t>Common</t>
        </is>
      </c>
      <c r="I172" s="54" t="inlineStr">
        <is>
          <t>Piltover</t>
        </is>
      </c>
      <c r="J172" s="7" t="inlineStr">
        <is>
          <t>When you play me, return a gear from your trash to your hand.</t>
        </is>
      </c>
      <c r="K172" s="667" t="n"/>
    </row>
    <row r="173" ht="15" customHeight="1">
      <c r="A173" s="54" t="inlineStr">
        <is>
          <t>SFD-062</t>
        </is>
      </c>
      <c r="B173" s="54" t="n">
        <v>3</v>
      </c>
      <c r="C173" s="54" t="inlineStr">
        <is>
          <t>Bubble Bot</t>
        </is>
      </c>
      <c r="D173" s="54" t="inlineStr">
        <is>
          <t>Mind</t>
        </is>
      </c>
      <c r="E173" s="54" t="inlineStr">
        <is>
          <t>Unit</t>
        </is>
      </c>
      <c r="F173" s="54" t="inlineStr">
        <is>
          <t>3</t>
        </is>
      </c>
      <c r="G173" s="54" t="inlineStr">
        <is>
          <t>3</t>
        </is>
      </c>
      <c r="H173" s="54" t="inlineStr">
        <is>
          <t>Common</t>
        </is>
      </c>
      <c r="I173" s="54" t="inlineStr">
        <is>
          <t>Bandle City;Mech;Yordle</t>
        </is>
      </c>
      <c r="J173" s="7" t="inlineStr">
        <is>
          <t>When you play me, ready another friendly Mech.</t>
        </is>
      </c>
      <c r="K173" s="667" t="n"/>
    </row>
    <row r="174" ht="15" customHeight="1">
      <c r="A174" s="49" t="inlineStr">
        <is>
          <t>SFD-063</t>
        </is>
      </c>
      <c r="B174" s="49" t="n">
        <v>3</v>
      </c>
      <c r="C174" s="49" t="inlineStr">
        <is>
          <t>Chemtech Cask</t>
        </is>
      </c>
      <c r="D174" s="49" t="inlineStr">
        <is>
          <t>Calm</t>
        </is>
      </c>
      <c r="E174" s="49" t="inlineStr">
        <is>
          <t>Gear</t>
        </is>
      </c>
      <c r="F174" s="49" t="inlineStr">
        <is>
          <t>1</t>
        </is>
      </c>
      <c r="G174" s="49" t="inlineStr"/>
      <c r="H174" s="49" t="inlineStr">
        <is>
          <t>Common</t>
        </is>
      </c>
      <c r="I174" s="49" t="inlineStr"/>
      <c r="J174" s="5" t="inlineStr">
        <is>
          <t>When you play a spell on an opponent's turn, you may exhaust me to play a Gold gear token exhausted.</t>
        </is>
      </c>
      <c r="K174" s="667" t="n"/>
    </row>
    <row r="175" ht="15" customHeight="1">
      <c r="A175" s="54" t="inlineStr">
        <is>
          <t>SFD-064</t>
        </is>
      </c>
      <c r="B175" s="54" t="n">
        <v>2</v>
      </c>
      <c r="C175" s="54" t="inlineStr">
        <is>
          <t>Cloth Armor</t>
        </is>
      </c>
      <c r="D175" s="54" t="inlineStr">
        <is>
          <t>Mind</t>
        </is>
      </c>
      <c r="E175" s="54" t="inlineStr">
        <is>
          <t>Gear</t>
        </is>
      </c>
      <c r="F175" s="54" t="inlineStr">
        <is>
          <t>1</t>
        </is>
      </c>
      <c r="G175" s="54" t="inlineStr"/>
      <c r="H175" s="54" t="inlineStr">
        <is>
          <t>Common</t>
        </is>
      </c>
      <c r="I175" s="54" t="inlineStr">
        <is>
          <t>Equipment</t>
        </is>
      </c>
      <c r="J175" s="7" t="inlineStr">
        <is>
          <t>[QUICK-DRAW] (This has [REACTION]. When you play it, attach it to a unit you control.)
[EQUIP Mind] (Mind: Attach this to a unit you control.)
[SHIELD 2] (+2 Might while I'm a defender.)
Might +2</t>
        </is>
      </c>
      <c r="K175" s="667" t="n"/>
    </row>
    <row r="176" ht="15" customHeight="1">
      <c r="A176" s="54" t="inlineStr">
        <is>
          <t>SFD-065</t>
        </is>
      </c>
      <c r="B176" s="54" t="n">
        <v>3</v>
      </c>
      <c r="C176" s="54" t="inlineStr">
        <is>
          <t>Forecaster</t>
        </is>
      </c>
      <c r="D176" s="54" t="inlineStr">
        <is>
          <t>Mind</t>
        </is>
      </c>
      <c r="E176" s="54" t="inlineStr">
        <is>
          <t>Unit</t>
        </is>
      </c>
      <c r="F176" s="54" t="inlineStr">
        <is>
          <t>2</t>
        </is>
      </c>
      <c r="G176" s="54" t="inlineStr">
        <is>
          <t>2</t>
        </is>
      </c>
      <c r="H176" s="54" t="inlineStr">
        <is>
          <t>Common</t>
        </is>
      </c>
      <c r="I176" s="54" t="inlineStr">
        <is>
          <t>Bandle City;Mech;Yordle</t>
        </is>
      </c>
      <c r="J176" s="7" t="inlineStr">
        <is>
          <t>Your Mechs have [VISION]. (When you play us, look at the top card of your Main Deck. You may recycle it.)</t>
        </is>
      </c>
      <c r="K176" s="667" t="n"/>
    </row>
    <row r="177" ht="15" customHeight="1">
      <c r="A177" s="54" t="inlineStr">
        <is>
          <t>SFD-066</t>
        </is>
      </c>
      <c r="B177" s="54" t="n">
        <v>3</v>
      </c>
      <c r="C177" s="54" t="inlineStr">
        <is>
          <t>Frigid Touch</t>
        </is>
      </c>
      <c r="D177" s="54" t="inlineStr">
        <is>
          <t>Mind</t>
        </is>
      </c>
      <c r="E177" s="54" t="inlineStr">
        <is>
          <t>Spell</t>
        </is>
      </c>
      <c r="F177" s="54" t="inlineStr">
        <is>
          <t>2</t>
        </is>
      </c>
      <c r="G177" s="54" t="inlineStr"/>
      <c r="H177" s="54" t="inlineStr">
        <is>
          <t>Common</t>
        </is>
      </c>
      <c r="I177" s="54" t="inlineStr"/>
      <c r="J177" s="7" t="inlineStr">
        <is>
          <t>[REACTION] (Play any time, even before spells and abilities resolve.)
[REPEAT 2] (You may pay the additional cost to repeat this spell's effect.)
Give a unit -2 Might this turn.</t>
        </is>
      </c>
      <c r="K177" s="710" t="n"/>
    </row>
    <row r="178" ht="15" customHeight="1">
      <c r="A178" s="54" t="inlineStr">
        <is>
          <t>SFD-067</t>
        </is>
      </c>
      <c r="B178" s="54" t="n">
        <v>3</v>
      </c>
      <c r="C178" s="54" t="inlineStr">
        <is>
          <t>Frostcoat Cub</t>
        </is>
      </c>
      <c r="D178" s="54" t="inlineStr">
        <is>
          <t>Mind</t>
        </is>
      </c>
      <c r="E178" s="54" t="inlineStr">
        <is>
          <t>Unit</t>
        </is>
      </c>
      <c r="F178" s="54" t="inlineStr">
        <is>
          <t>3</t>
        </is>
      </c>
      <c r="G178" s="54" t="inlineStr">
        <is>
          <t>3</t>
        </is>
      </c>
      <c r="H178" s="54" t="inlineStr">
        <is>
          <t>Common</t>
        </is>
      </c>
      <c r="I178" s="54" t="inlineStr">
        <is>
          <t>Dog;Freljord</t>
        </is>
      </c>
      <c r="J178" s="7" t="inlineStr">
        <is>
          <t>You may pay Mind as an additional cost to play me. When you play me, if you paid the additional cost, give a unit -2 Might this turn.</t>
        </is>
      </c>
      <c r="K178" s="710" t="n"/>
    </row>
    <row r="179" ht="15" customHeight="1">
      <c r="A179" s="54" t="inlineStr">
        <is>
          <t>SFD-068</t>
        </is>
      </c>
      <c r="B179" s="54" t="n">
        <v>3</v>
      </c>
      <c r="C179" s="54" t="inlineStr">
        <is>
          <t>Gearhead</t>
        </is>
      </c>
      <c r="D179" s="54" t="inlineStr">
        <is>
          <t>Mind</t>
        </is>
      </c>
      <c r="E179" s="54" t="inlineStr">
        <is>
          <t>Unit</t>
        </is>
      </c>
      <c r="F179" s="54" t="inlineStr">
        <is>
          <t>5</t>
        </is>
      </c>
      <c r="G179" s="54" t="inlineStr">
        <is>
          <t>3</t>
        </is>
      </c>
      <c r="H179" s="54" t="inlineStr">
        <is>
          <t>Common</t>
        </is>
      </c>
      <c r="I179" s="54" t="inlineStr">
        <is>
          <t>Zaun</t>
        </is>
      </c>
      <c r="J179" s="7" t="inlineStr">
        <is>
          <t>[ACCELERATE] (You may pay 1 and Mind as an additional cost to have me enter ready.)
Each Equipment attached to me gives double its base Might bonus.</t>
        </is>
      </c>
      <c r="K179" s="667" t="n"/>
    </row>
    <row r="180" ht="15" customHeight="1">
      <c r="A180" s="54" t="inlineStr">
        <is>
          <t>SFD-069</t>
        </is>
      </c>
      <c r="B180" s="54" t="n">
        <v>3</v>
      </c>
      <c r="C180" s="54" t="inlineStr">
        <is>
          <t>Plundering Poro</t>
        </is>
      </c>
      <c r="D180" s="54" t="inlineStr">
        <is>
          <t>Mind</t>
        </is>
      </c>
      <c r="E180" s="54" t="inlineStr">
        <is>
          <t>Unit</t>
        </is>
      </c>
      <c r="F180" s="54" t="inlineStr">
        <is>
          <t>2</t>
        </is>
      </c>
      <c r="G180" s="54" t="inlineStr">
        <is>
          <t>2</t>
        </is>
      </c>
      <c r="H180" s="54" t="inlineStr">
        <is>
          <t>Common</t>
        </is>
      </c>
      <c r="I180" s="54" t="inlineStr">
        <is>
          <t>Bilgewater;Pirate;Poro</t>
        </is>
      </c>
      <c r="J180" s="7" t="inlineStr">
        <is>
          <t>When I conquer, play a Gold gear token exhausted.</t>
        </is>
      </c>
      <c r="K180" s="667" t="n"/>
    </row>
    <row r="181" ht="15" customHeight="1">
      <c r="A181" s="54" t="inlineStr">
        <is>
          <t>SFD-070</t>
        </is>
      </c>
      <c r="B181" s="54" t="n">
        <v>3</v>
      </c>
      <c r="C181" s="54" t="inlineStr">
        <is>
          <t>Wages of Pain</t>
        </is>
      </c>
      <c r="D181" s="54" t="inlineStr">
        <is>
          <t>Mind</t>
        </is>
      </c>
      <c r="E181" s="54" t="inlineStr">
        <is>
          <t>Spell</t>
        </is>
      </c>
      <c r="F181" s="54" t="inlineStr">
        <is>
          <t>3</t>
        </is>
      </c>
      <c r="G181" s="54" t="inlineStr"/>
      <c r="H181" s="54" t="inlineStr">
        <is>
          <t>Common</t>
        </is>
      </c>
      <c r="I181" s="54" t="inlineStr"/>
      <c r="J181" s="7" t="inlineStr">
        <is>
          <t>[HIDDEN] (Hide now for 1 Rune to react with later for 0.)
[ACTION] (Play on your turn or in showdowns.)
Deal 3 to a unit at a battlefield. Play a Gold gear token exhausted.</t>
        </is>
      </c>
      <c r="K181" s="710" t="n"/>
    </row>
    <row r="182" ht="15" customHeight="1">
      <c r="A182" s="49" t="inlineStr">
        <is>
          <t>SFD-071</t>
        </is>
      </c>
      <c r="B182" s="49" t="n">
        <v>3</v>
      </c>
      <c r="C182" s="49" t="inlineStr">
        <is>
          <t>Breakneck Mech</t>
        </is>
      </c>
      <c r="D182" s="49" t="inlineStr">
        <is>
          <t>Calm</t>
        </is>
      </c>
      <c r="E182" s="49" t="inlineStr">
        <is>
          <t>Unit</t>
        </is>
      </c>
      <c r="F182" s="49" t="inlineStr">
        <is>
          <t>8</t>
        </is>
      </c>
      <c r="G182" s="49" t="inlineStr">
        <is>
          <t>7</t>
        </is>
      </c>
      <c r="H182" s="49" t="inlineStr">
        <is>
          <t>Uncommon</t>
        </is>
      </c>
      <c r="I182" s="49" t="inlineStr">
        <is>
          <t>Bandle City;Mech;Yordle</t>
        </is>
      </c>
      <c r="J182" s="5" t="inlineStr">
        <is>
          <t>Your Mechs have [DEFLECT] and [GANKING]. (Opponents must pay 1 Rune to choose us with a spell or ability. We can move from battlefield to battlefield.)
I enter ready if you control another Mech.</t>
        </is>
      </c>
      <c r="K182" s="667" t="n"/>
    </row>
    <row r="183" ht="15" customHeight="1">
      <c r="A183" s="54" t="inlineStr">
        <is>
          <t>SFD-072</t>
        </is>
      </c>
      <c r="B183" s="54" t="n">
        <v>3</v>
      </c>
      <c r="C183" s="54" t="inlineStr">
        <is>
          <t>Dropboarder</t>
        </is>
      </c>
      <c r="D183" s="54" t="inlineStr">
        <is>
          <t>Mind</t>
        </is>
      </c>
      <c r="E183" s="54" t="inlineStr">
        <is>
          <t>Unit</t>
        </is>
      </c>
      <c r="F183" s="54" t="inlineStr">
        <is>
          <t>4</t>
        </is>
      </c>
      <c r="G183" s="54" t="inlineStr">
        <is>
          <t>4</t>
        </is>
      </c>
      <c r="H183" s="54" t="inlineStr">
        <is>
          <t>Uncommon</t>
        </is>
      </c>
      <c r="I183" s="54" t="inlineStr">
        <is>
          <t>Zaun</t>
        </is>
      </c>
      <c r="J183" s="7" t="inlineStr">
        <is>
          <t>When you play me, if you control two or more gear, ready me.</t>
        </is>
      </c>
      <c r="K183" s="667" t="n"/>
    </row>
    <row r="184" ht="15" customHeight="1">
      <c r="A184" s="54" t="inlineStr">
        <is>
          <t>SFD-074</t>
        </is>
      </c>
      <c r="B184" s="54" t="n">
        <v>1</v>
      </c>
      <c r="C184" s="54" t="inlineStr">
        <is>
          <t>Pickpocket</t>
        </is>
      </c>
      <c r="D184" s="54" t="inlineStr">
        <is>
          <t>Mind</t>
        </is>
      </c>
      <c r="E184" s="54" t="inlineStr">
        <is>
          <t>Unit</t>
        </is>
      </c>
      <c r="F184" s="54" t="inlineStr">
        <is>
          <t>3</t>
        </is>
      </c>
      <c r="G184" s="54" t="inlineStr">
        <is>
          <t>3</t>
        </is>
      </c>
      <c r="H184" s="54" t="inlineStr">
        <is>
          <t>Uncommon</t>
        </is>
      </c>
      <c r="I184" s="54" t="inlineStr">
        <is>
          <t>Zaun</t>
        </is>
      </c>
      <c r="J184" s="7" t="inlineStr">
        <is>
          <t>When you play me, you may kill a gear with Energy cost no more than 1. If you do, play a Gold gear token exhausted.</t>
        </is>
      </c>
      <c r="K184" s="667" t="n"/>
    </row>
    <row r="185" ht="15" customHeight="1">
      <c r="A185" s="54" t="inlineStr">
        <is>
          <t>SFD-076</t>
        </is>
      </c>
      <c r="B185" s="54" t="n">
        <v>3</v>
      </c>
      <c r="C185" s="54" t="inlineStr">
        <is>
          <t>Production Surge</t>
        </is>
      </c>
      <c r="D185" s="54" t="inlineStr">
        <is>
          <t>Mind</t>
        </is>
      </c>
      <c r="E185" s="54" t="inlineStr">
        <is>
          <t>Spell</t>
        </is>
      </c>
      <c r="F185" s="54" t="inlineStr">
        <is>
          <t>4</t>
        </is>
      </c>
      <c r="G185" s="54" t="inlineStr">
        <is>
          <t>0</t>
        </is>
      </c>
      <c r="H185" s="54" t="inlineStr">
        <is>
          <t>Uncommon</t>
        </is>
      </c>
      <c r="I185" s="54" t="inlineStr"/>
      <c r="J185" s="7" t="inlineStr">
        <is>
          <t>This costs 2 less if you control a Mech.
Play a 3 Might Mech unit token to your base.
Draw 1.</t>
        </is>
      </c>
      <c r="K185" s="667" t="n"/>
    </row>
    <row r="186" ht="15" customHeight="1">
      <c r="A186" s="54" t="inlineStr">
        <is>
          <t>SFD-077</t>
        </is>
      </c>
      <c r="B186" s="54" t="n">
        <v>2</v>
      </c>
      <c r="C186" s="54" t="inlineStr">
        <is>
          <t>Rocket Barrage</t>
        </is>
      </c>
      <c r="D186" s="54" t="inlineStr">
        <is>
          <t>Mind</t>
        </is>
      </c>
      <c r="E186" s="54" t="inlineStr">
        <is>
          <t>Spell</t>
        </is>
      </c>
      <c r="F186" s="54" t="inlineStr">
        <is>
          <t>4</t>
        </is>
      </c>
      <c r="G186" s="54" t="inlineStr">
        <is>
          <t>0</t>
        </is>
      </c>
      <c r="H186" s="54" t="inlineStr">
        <is>
          <t>Uncommon</t>
        </is>
      </c>
      <c r="I186" s="54" t="inlineStr"/>
      <c r="J186" s="7" t="inlineStr">
        <is>
          <t>[REPEAT 4 Mind] (You may pay the additional cost to repeat this spell's effect, and may make different choices.)
Choose one —
• Deal 4 to a unit in a base.
• Kill a gear.</t>
        </is>
      </c>
      <c r="K186" s="710" t="n"/>
    </row>
    <row r="187" ht="15" customHeight="1">
      <c r="A187" s="54" t="inlineStr">
        <is>
          <t>SFD-081</t>
        </is>
      </c>
      <c r="B187" s="54" t="n">
        <v>1</v>
      </c>
      <c r="C187" s="54" t="inlineStr">
        <is>
          <t>Card Sharp</t>
        </is>
      </c>
      <c r="D187" s="54" t="inlineStr">
        <is>
          <t>Mind</t>
        </is>
      </c>
      <c r="E187" s="54" t="inlineStr">
        <is>
          <t>Unit</t>
        </is>
      </c>
      <c r="F187" s="54" t="inlineStr">
        <is>
          <t>3</t>
        </is>
      </c>
      <c r="G187" s="54" t="inlineStr">
        <is>
          <t>3</t>
        </is>
      </c>
      <c r="H187" s="54" t="inlineStr">
        <is>
          <t>Rare</t>
        </is>
      </c>
      <c r="I187" s="54" t="inlineStr">
        <is>
          <t>Bilgewater</t>
        </is>
      </c>
      <c r="J187" s="7" t="inlineStr">
        <is>
          <t>When you play me, you and each opponent may play a Gold gear token exhausted. For each opponent who did, you play a Gold gear token exhausted.</t>
        </is>
      </c>
      <c r="K187" s="667" t="n"/>
    </row>
    <row r="188" ht="15" customHeight="1">
      <c r="A188" s="54" t="inlineStr">
        <is>
          <t>SFD-082</t>
        </is>
      </c>
      <c r="B188" s="54" t="n">
        <v>1</v>
      </c>
      <c r="C188" s="54" t="inlineStr">
        <is>
          <t>Ezreal - Dashing</t>
        </is>
      </c>
      <c r="D188" s="54" t="inlineStr">
        <is>
          <t>Mind</t>
        </is>
      </c>
      <c r="E188" s="54" t="inlineStr">
        <is>
          <t>Champion Unit</t>
        </is>
      </c>
      <c r="F188" s="54" t="inlineStr">
        <is>
          <t>4</t>
        </is>
      </c>
      <c r="G188" s="54" t="inlineStr">
        <is>
          <t>3</t>
        </is>
      </c>
      <c r="H188" s="54" t="inlineStr">
        <is>
          <t>Rare</t>
        </is>
      </c>
      <c r="I188" s="54" t="inlineStr">
        <is>
          <t>Piltover;Ezreal</t>
        </is>
      </c>
      <c r="J188" s="7" t="inlineStr">
        <is>
          <t>When I attack or defend, deal damage equal to my Might to an enemy unit here.
I don't deal combat damage.
Mind: [ACTION] — Move me to your base.</t>
        </is>
      </c>
      <c r="K188" s="667" t="n"/>
    </row>
    <row r="189" ht="15" customHeight="1">
      <c r="A189" s="54" t="inlineStr">
        <is>
          <t>SFD-086</t>
        </is>
      </c>
      <c r="B189" s="54" t="n">
        <v>3</v>
      </c>
      <c r="C189" s="54" t="inlineStr">
        <is>
          <t>World Atlas</t>
        </is>
      </c>
      <c r="D189" s="54" t="inlineStr">
        <is>
          <t>Mind</t>
        </is>
      </c>
      <c r="E189" s="54" t="inlineStr">
        <is>
          <t>Gear</t>
        </is>
      </c>
      <c r="F189" s="54" t="inlineStr">
        <is>
          <t>0</t>
        </is>
      </c>
      <c r="G189" s="54" t="inlineStr">
        <is>
          <t>0</t>
        </is>
      </c>
      <c r="H189" s="54" t="inlineStr">
        <is>
          <t>Rare</t>
        </is>
      </c>
      <c r="I189" s="54" t="inlineStr">
        <is>
          <t>Equipment</t>
        </is>
      </c>
      <c r="J189" s="7" t="inlineStr">
        <is>
          <t>[EQUIP Mind] (Mind: Attach this to a unit you control.)
When I hold, play two Gold gear tokens exhausted. +2 Might</t>
        </is>
      </c>
      <c r="K189" s="667" t="n"/>
    </row>
    <row r="190" ht="15" customHeight="1">
      <c r="A190" s="54" t="inlineStr">
        <is>
          <t>SFD-089</t>
        </is>
      </c>
      <c r="B190" s="54" t="n">
        <v>1</v>
      </c>
      <c r="C190" s="54" t="inlineStr">
        <is>
          <t>Rumble - Scrapper</t>
        </is>
      </c>
      <c r="D190" s="54" t="inlineStr">
        <is>
          <t>Mind</t>
        </is>
      </c>
      <c r="E190" s="54" t="inlineStr">
        <is>
          <t>Champion Unit</t>
        </is>
      </c>
      <c r="F190" s="54" t="inlineStr">
        <is>
          <t>5</t>
        </is>
      </c>
      <c r="G190" s="54" t="inlineStr">
        <is>
          <t>4</t>
        </is>
      </c>
      <c r="H190" s="54" t="inlineStr">
        <is>
          <t>Epic</t>
        </is>
      </c>
      <c r="I190" s="54" t="inlineStr">
        <is>
          <t>Bandle City;Mech;Yordle;Rumble</t>
        </is>
      </c>
      <c r="J190" s="7" t="inlineStr">
        <is>
          <t>Your Mechs have +1 Might (including me). When I hold, play a 3 Might Mech unit token to your base.</t>
        </is>
      </c>
      <c r="K190" s="667" t="n"/>
    </row>
    <row r="191" ht="15" customHeight="1">
      <c r="A191" s="54" t="inlineStr">
        <is>
          <t>SFD-090</t>
        </is>
      </c>
      <c r="B191" s="54" t="n">
        <v>1</v>
      </c>
      <c r="C191" s="54" t="inlineStr">
        <is>
          <t>The Zero Drive</t>
        </is>
      </c>
      <c r="D191" s="54" t="inlineStr">
        <is>
          <t>Mind</t>
        </is>
      </c>
      <c r="E191" s="54" t="inlineStr">
        <is>
          <t>Gear</t>
        </is>
      </c>
      <c r="F191" s="54" t="inlineStr">
        <is>
          <t>3</t>
        </is>
      </c>
      <c r="G191" s="54" t="inlineStr"/>
      <c r="H191" s="54" t="inlineStr">
        <is>
          <t>Epic</t>
        </is>
      </c>
      <c r="I191" s="54" t="inlineStr">
        <is>
          <t>Equipment</t>
        </is>
      </c>
      <c r="J191" s="7" t="inlineStr">
        <is>
          <t>[EQUIP 1, Calm] (1, Calm: Attach this to a unit you control.) 3, Calm, Banish this: Play all units banished with this, ignoring their costs. (Use only if unattached.) [DEATHKNELL] — Banish me. (When I die, get the effect.) Might +2</t>
        </is>
      </c>
      <c r="K191" s="667" t="n"/>
    </row>
    <row r="192" ht="15" customHeight="1">
      <c r="A192" s="59" t="inlineStr">
        <is>
          <t>SFD-091</t>
        </is>
      </c>
      <c r="B192" s="59" t="n">
        <v>3</v>
      </c>
      <c r="C192" s="59" t="inlineStr">
        <is>
          <t>Buhru Captain</t>
        </is>
      </c>
      <c r="D192" s="59" t="inlineStr">
        <is>
          <t>Body</t>
        </is>
      </c>
      <c r="E192" s="59" t="inlineStr">
        <is>
          <t>Unit</t>
        </is>
      </c>
      <c r="F192" s="59" t="inlineStr">
        <is>
          <t>3</t>
        </is>
      </c>
      <c r="G192" s="59" t="inlineStr">
        <is>
          <t>3</t>
        </is>
      </c>
      <c r="H192" s="59" t="inlineStr">
        <is>
          <t>Common</t>
        </is>
      </c>
      <c r="I192" s="59" t="inlineStr">
        <is>
          <t>Bilgewater</t>
        </is>
      </c>
      <c r="J192" s="9" t="inlineStr">
        <is>
          <t>When you play me, you may draw 1 or buff me. (To buff a unit, give it a +1 Might buff if it doesn't already have one.)</t>
        </is>
      </c>
      <c r="K192" s="667" t="n"/>
    </row>
    <row r="193" ht="15" customHeight="1">
      <c r="A193" s="59" t="inlineStr">
        <is>
          <t>SFD-092</t>
        </is>
      </c>
      <c r="B193" s="59" t="n">
        <v>3</v>
      </c>
      <c r="C193" s="59" t="inlineStr">
        <is>
          <t>Combat Chef</t>
        </is>
      </c>
      <c r="D193" s="59" t="inlineStr">
        <is>
          <t>Body</t>
        </is>
      </c>
      <c r="E193" s="59" t="inlineStr">
        <is>
          <t>Unit</t>
        </is>
      </c>
      <c r="F193" s="59" t="inlineStr">
        <is>
          <t>5</t>
        </is>
      </c>
      <c r="G193" s="59" t="inlineStr">
        <is>
          <t>5</t>
        </is>
      </c>
      <c r="H193" s="59" t="inlineStr">
        <is>
          <t>Common</t>
        </is>
      </c>
      <c r="I193" s="59" t="inlineStr">
        <is>
          <t>Demacia</t>
        </is>
      </c>
      <c r="J193" s="9" t="inlineStr">
        <is>
          <t>[WEAPONMASTER] (When you play me, you may [EQUIP] One of your Equipment to me for Rune less, even if it's already attached.)</t>
        </is>
      </c>
      <c r="K193" s="667" t="n"/>
    </row>
    <row r="194" ht="15" customHeight="1">
      <c r="A194" s="59" t="inlineStr">
        <is>
          <t>SFD-093</t>
        </is>
      </c>
      <c r="B194" s="59" t="n">
        <v>3</v>
      </c>
      <c r="C194" s="59" t="inlineStr">
        <is>
          <t>Dauntless Vanguard</t>
        </is>
      </c>
      <c r="D194" s="59" t="inlineStr">
        <is>
          <t>Body</t>
        </is>
      </c>
      <c r="E194" s="59" t="inlineStr">
        <is>
          <t>Unit</t>
        </is>
      </c>
      <c r="F194" s="59" t="inlineStr">
        <is>
          <t>4</t>
        </is>
      </c>
      <c r="G194" s="59" t="inlineStr">
        <is>
          <t>4</t>
        </is>
      </c>
      <c r="H194" s="59" t="inlineStr">
        <is>
          <t>Common</t>
        </is>
      </c>
      <c r="I194" s="59" t="inlineStr">
        <is>
          <t>Demacia;Elite</t>
        </is>
      </c>
      <c r="J194" s="9" t="inlineStr">
        <is>
          <t>You may play me to an occupied enemy battlefield.</t>
        </is>
      </c>
      <c r="K194" s="428" t="inlineStr">
        <is>
          <t>MF(3)</t>
        </is>
      </c>
    </row>
    <row r="195" ht="15" customHeight="1">
      <c r="A195" s="59" t="inlineStr">
        <is>
          <t>SFD-094</t>
        </is>
      </c>
      <c r="B195" s="59" t="n">
        <v>3</v>
      </c>
      <c r="C195" s="59" t="inlineStr">
        <is>
          <t>Direwing</t>
        </is>
      </c>
      <c r="D195" s="59" t="inlineStr">
        <is>
          <t>Body</t>
        </is>
      </c>
      <c r="E195" s="59" t="inlineStr">
        <is>
          <t>Unit</t>
        </is>
      </c>
      <c r="F195" s="59" t="inlineStr">
        <is>
          <t>7</t>
        </is>
      </c>
      <c r="G195" s="59" t="inlineStr">
        <is>
          <t>7</t>
        </is>
      </c>
      <c r="H195" s="59" t="inlineStr">
        <is>
          <t>Common</t>
        </is>
      </c>
      <c r="I195" s="59" t="inlineStr">
        <is>
          <t>Demacia;Dragon</t>
        </is>
      </c>
      <c r="J195" s="9" t="inlineStr">
        <is>
          <t>I enter ready if you control another Dragon.</t>
        </is>
      </c>
      <c r="K195" s="428" t="inlineStr">
        <is>
          <t>Voli(3)</t>
        </is>
      </c>
    </row>
    <row r="196" ht="15" customHeight="1">
      <c r="A196" s="59" t="inlineStr">
        <is>
          <t>SFD-095</t>
        </is>
      </c>
      <c r="B196" s="59" t="n">
        <v>3</v>
      </c>
      <c r="C196" s="59" t="inlineStr">
        <is>
          <t>Doran's Blade</t>
        </is>
      </c>
      <c r="D196" s="59" t="inlineStr">
        <is>
          <t>Body</t>
        </is>
      </c>
      <c r="E196" s="59" t="inlineStr">
        <is>
          <t>Gear</t>
        </is>
      </c>
      <c r="F196" s="59" t="inlineStr">
        <is>
          <t>2</t>
        </is>
      </c>
      <c r="G196" s="59" t="inlineStr">
        <is>
          <t>2</t>
        </is>
      </c>
      <c r="H196" s="59" t="inlineStr">
        <is>
          <t>Common</t>
        </is>
      </c>
      <c r="I196" s="59" t="inlineStr">
        <is>
          <t>Equipment</t>
        </is>
      </c>
      <c r="J196" s="9" t="inlineStr">
        <is>
          <t>[EQUIP Body] (Body: Attach this to a unit you control.)
+2 Might</t>
        </is>
      </c>
      <c r="K196" s="428" t="inlineStr">
        <is>
          <t>MF(2)</t>
        </is>
      </c>
    </row>
    <row r="197" ht="15" customHeight="1">
      <c r="A197" s="59" t="inlineStr">
        <is>
          <t>SFD-096</t>
        </is>
      </c>
      <c r="B197" s="59" t="n">
        <v>3</v>
      </c>
      <c r="C197" s="59" t="inlineStr">
        <is>
          <t>Laurent Bladekeeper</t>
        </is>
      </c>
      <c r="D197" s="59" t="inlineStr">
        <is>
          <t>Body</t>
        </is>
      </c>
      <c r="E197" s="59" t="inlineStr">
        <is>
          <t>Unit</t>
        </is>
      </c>
      <c r="F197" s="59" t="inlineStr">
        <is>
          <t>3</t>
        </is>
      </c>
      <c r="G197" s="59" t="inlineStr">
        <is>
          <t>3</t>
        </is>
      </c>
      <c r="H197" s="59" t="inlineStr">
        <is>
          <t>Common</t>
        </is>
      </c>
      <c r="I197" s="59" t="inlineStr">
        <is>
          <t>Demacia</t>
        </is>
      </c>
      <c r="J197" s="9" t="inlineStr">
        <is>
          <t>[GANKING] (I can move from battlefield to battlefield.)</t>
        </is>
      </c>
      <c r="K197" s="667" t="n"/>
    </row>
    <row r="198" ht="15" customHeight="1">
      <c r="A198" s="59" t="inlineStr">
        <is>
          <t>SFD-097</t>
        </is>
      </c>
      <c r="B198" s="59" t="n">
        <v>3</v>
      </c>
      <c r="C198" s="59" t="inlineStr">
        <is>
          <t>Punch First</t>
        </is>
      </c>
      <c r="D198" s="59" t="inlineStr">
        <is>
          <t>Body</t>
        </is>
      </c>
      <c r="E198" s="59" t="inlineStr">
        <is>
          <t>Spell</t>
        </is>
      </c>
      <c r="F198" s="59" t="inlineStr">
        <is>
          <t>1</t>
        </is>
      </c>
      <c r="G198" s="59" t="inlineStr">
        <is>
          <t>0</t>
        </is>
      </c>
      <c r="H198" s="59" t="inlineStr">
        <is>
          <t>Common</t>
        </is>
      </c>
      <c r="I198" s="59" t="inlineStr"/>
      <c r="J198" s="9" t="inlineStr">
        <is>
          <t>[ACTION] (Play on your turn or in showdowns.)
Give a unit +5 Might this turn.</t>
        </is>
      </c>
      <c r="K198" s="667" t="n"/>
    </row>
    <row r="199" ht="15" customHeight="1">
      <c r="A199" s="59" t="inlineStr">
        <is>
          <t>SFD-098</t>
        </is>
      </c>
      <c r="B199" s="59" t="n">
        <v>3</v>
      </c>
      <c r="C199" s="59" t="inlineStr">
        <is>
          <t>Sea Monkey</t>
        </is>
      </c>
      <c r="D199" s="59" t="inlineStr">
        <is>
          <t>Body</t>
        </is>
      </c>
      <c r="E199" s="59" t="inlineStr">
        <is>
          <t>Unit</t>
        </is>
      </c>
      <c r="F199" s="59" t="inlineStr">
        <is>
          <t>2</t>
        </is>
      </c>
      <c r="G199" s="59" t="inlineStr">
        <is>
          <t>2</t>
        </is>
      </c>
      <c r="H199" s="59" t="inlineStr">
        <is>
          <t>Common</t>
        </is>
      </c>
      <c r="I199" s="59" t="inlineStr">
        <is>
          <t>Bilgewater;Pirate</t>
        </is>
      </c>
      <c r="J199" s="9" t="inlineStr">
        <is>
          <t>You may pay 1 as an additional cost to play me.
When you play me, if you paid the additional cost, buff me. (Give me a +1 Might Buff if I don't already have one.)</t>
        </is>
      </c>
      <c r="K199" s="667" t="n"/>
    </row>
    <row r="200" ht="15" customHeight="1">
      <c r="A200" s="59" t="inlineStr">
        <is>
          <t>SFD-099</t>
        </is>
      </c>
      <c r="B200" s="59" t="n">
        <v>3</v>
      </c>
      <c r="C200" s="59" t="inlineStr">
        <is>
          <t>Veteran Poro</t>
        </is>
      </c>
      <c r="D200" s="59" t="inlineStr">
        <is>
          <t>Body</t>
        </is>
      </c>
      <c r="E200" s="59" t="inlineStr">
        <is>
          <t>Unit</t>
        </is>
      </c>
      <c r="F200" s="59" t="inlineStr">
        <is>
          <t>2</t>
        </is>
      </c>
      <c r="G200" s="59" t="inlineStr">
        <is>
          <t>2</t>
        </is>
      </c>
      <c r="H200" s="59" t="inlineStr">
        <is>
          <t>Common</t>
        </is>
      </c>
      <c r="I200" s="59" t="inlineStr">
        <is>
          <t>Freljord;Poro</t>
        </is>
      </c>
      <c r="J200" s="9" t="inlineStr">
        <is>
          <t>[WEAPONMASTER] (When you play me, you may [EQUIP] one of your Equipment to me for Rune less, even if it's already attached.)</t>
        </is>
      </c>
      <c r="K200" s="667" t="n"/>
    </row>
    <row r="201" ht="15" customHeight="1">
      <c r="A201" s="59" t="inlineStr">
        <is>
          <t>SFD-100</t>
        </is>
      </c>
      <c r="B201" s="59" t="n">
        <v>3</v>
      </c>
      <c r="C201" s="59" t="inlineStr">
        <is>
          <t>Yordle Explorer</t>
        </is>
      </c>
      <c r="D201" s="59" t="inlineStr">
        <is>
          <t>Body</t>
        </is>
      </c>
      <c r="E201" s="59" t="inlineStr">
        <is>
          <t>Unit</t>
        </is>
      </c>
      <c r="F201" s="59" t="inlineStr">
        <is>
          <t>4</t>
        </is>
      </c>
      <c r="G201" s="59" t="inlineStr">
        <is>
          <t>4</t>
        </is>
      </c>
      <c r="H201" s="59" t="inlineStr">
        <is>
          <t>Common</t>
        </is>
      </c>
      <c r="I201" s="59" t="inlineStr">
        <is>
          <t>Bandle City;Yordle</t>
        </is>
      </c>
      <c r="J201" s="9" t="inlineStr">
        <is>
          <t>When you play a card with Power cost 2 Runes or more, draw 1.</t>
        </is>
      </c>
      <c r="K201" s="667" t="n"/>
    </row>
    <row r="202" ht="15" customHeight="1">
      <c r="A202" s="59" t="inlineStr">
        <is>
          <t>SFD-101</t>
        </is>
      </c>
      <c r="B202" s="59" t="n">
        <v>3</v>
      </c>
      <c r="C202" s="59" t="inlineStr">
        <is>
          <t>Fae Dragon</t>
        </is>
      </c>
      <c r="D202" s="59" t="inlineStr">
        <is>
          <t>Body</t>
        </is>
      </c>
      <c r="E202" s="59" t="inlineStr">
        <is>
          <t>Unit</t>
        </is>
      </c>
      <c r="F202" s="59" t="inlineStr">
        <is>
          <t>7</t>
        </is>
      </c>
      <c r="G202" s="59" t="inlineStr">
        <is>
          <t>7</t>
        </is>
      </c>
      <c r="H202" s="59" t="inlineStr">
        <is>
          <t>Uncommon</t>
        </is>
      </c>
      <c r="I202" s="59" t="inlineStr">
        <is>
          <t>Bandle City;Dragon;Fae</t>
        </is>
      </c>
      <c r="J202" s="9" t="inlineStr">
        <is>
          <t>When you play me, buff up to four friendly units. (Give each one a +1 Might buff if it doesn't have one.)
When you spend a buff, play a Gold gear token exhausted.</t>
        </is>
      </c>
      <c r="K202" s="667" t="n"/>
    </row>
    <row r="203" ht="15" customHeight="1">
      <c r="A203" s="59" t="inlineStr">
        <is>
          <t>SFD-102</t>
        </is>
      </c>
      <c r="B203" s="59" t="n">
        <v>3</v>
      </c>
      <c r="C203" s="59" t="inlineStr">
        <is>
          <t>Hexdrinker</t>
        </is>
      </c>
      <c r="D203" s="59" t="inlineStr">
        <is>
          <t>Body</t>
        </is>
      </c>
      <c r="E203" s="59" t="inlineStr">
        <is>
          <t>Gear</t>
        </is>
      </c>
      <c r="F203" s="59" t="inlineStr">
        <is>
          <t>2</t>
        </is>
      </c>
      <c r="G203" s="59" t="inlineStr"/>
      <c r="H203" s="59" t="inlineStr">
        <is>
          <t>Uncommon</t>
        </is>
      </c>
      <c r="I203" s="59" t="inlineStr">
        <is>
          <t>Equipment</t>
        </is>
      </c>
      <c r="J203" s="9" t="inlineStr">
        <is>
          <t>[EQUIP Body] (Body: Attach this to a unit you control.)
[DEFLECT] (Opponents must pay Rune to choose me with a spell or ability.) +1 Might</t>
        </is>
      </c>
      <c r="K203" s="667" t="n"/>
    </row>
    <row r="204" ht="15" customHeight="1">
      <c r="A204" s="59" t="inlineStr">
        <is>
          <t>SFD-103</t>
        </is>
      </c>
      <c r="B204" s="59" t="n">
        <v>3</v>
      </c>
      <c r="C204" s="59" t="inlineStr">
        <is>
          <t>Jaull-Fish</t>
        </is>
      </c>
      <c r="D204" s="59" t="inlineStr">
        <is>
          <t>Body</t>
        </is>
      </c>
      <c r="E204" s="59" t="inlineStr">
        <is>
          <t>Unit</t>
        </is>
      </c>
      <c r="F204" s="59" t="inlineStr">
        <is>
          <t>7</t>
        </is>
      </c>
      <c r="G204" s="59" t="inlineStr">
        <is>
          <t>6</t>
        </is>
      </c>
      <c r="H204" s="59" t="inlineStr">
        <is>
          <t>Common</t>
        </is>
      </c>
      <c r="I204" s="59" t="inlineStr">
        <is>
          <t>Bilgewater</t>
        </is>
      </c>
      <c r="J204" s="9" t="inlineStr">
        <is>
          <t>[ACCELERATE] (You may pay 1 Body as an additional cost to have me enter ready.)
I cost 2 less for each of your [MIGHTY] units. A unit is Mighty while it has 5+ Might.)</t>
        </is>
      </c>
      <c r="K204" s="667" t="n"/>
    </row>
    <row r="205" ht="15" customHeight="1">
      <c r="A205" s="59" t="inlineStr">
        <is>
          <t>SFD-104</t>
        </is>
      </c>
      <c r="B205" s="59" t="n">
        <v>2</v>
      </c>
      <c r="C205" s="59" t="inlineStr">
        <is>
          <t>Petricite Monument</t>
        </is>
      </c>
      <c r="D205" s="59" t="inlineStr">
        <is>
          <t>Body</t>
        </is>
      </c>
      <c r="E205" s="59" t="inlineStr">
        <is>
          <t>Gear</t>
        </is>
      </c>
      <c r="F205" s="59" t="inlineStr">
        <is>
          <t>2</t>
        </is>
      </c>
      <c r="G205" s="59" t="inlineStr"/>
      <c r="H205" s="59" t="inlineStr">
        <is>
          <t>Uncommon</t>
        </is>
      </c>
      <c r="I205" s="59" t="inlineStr"/>
      <c r="J205" s="9" t="inlineStr">
        <is>
          <t>[TEMPORARY] (Kill this at the start of its controller's Beginning Phase, before scoring.)
Friendly units have [DEFLECT]. (Opponents must pay Rune to choose them with a spell or ability.)</t>
        </is>
      </c>
      <c r="K205" s="667" t="n"/>
    </row>
    <row r="206" ht="15" customHeight="1">
      <c r="A206" s="59" t="inlineStr">
        <is>
          <t>SFD-105</t>
        </is>
      </c>
      <c r="B206" s="59" t="n">
        <v>1</v>
      </c>
      <c r="C206" s="59" t="inlineStr">
        <is>
          <t>Ruin Runner</t>
        </is>
      </c>
      <c r="D206" s="59" t="inlineStr">
        <is>
          <t>Body</t>
        </is>
      </c>
      <c r="E206" s="59" t="inlineStr">
        <is>
          <t>Unit</t>
        </is>
      </c>
      <c r="F206" s="59" t="inlineStr">
        <is>
          <t>6</t>
        </is>
      </c>
      <c r="G206" s="59" t="inlineStr">
        <is>
          <t>5</t>
        </is>
      </c>
      <c r="H206" s="59" t="inlineStr">
        <is>
          <t>Uncommon</t>
        </is>
      </c>
      <c r="I206" s="59" t="inlineStr">
        <is>
          <t>Shurima</t>
        </is>
      </c>
      <c r="J206" s="9" t="inlineStr">
        <is>
          <t>I can't be chosen by enemy spells and abilities.</t>
        </is>
      </c>
      <c r="K206" s="667" t="n"/>
    </row>
    <row r="207" ht="15" customHeight="1">
      <c r="A207" s="59" t="inlineStr">
        <is>
          <t>SFD-106</t>
        </is>
      </c>
      <c r="B207" s="59" t="n">
        <v>3</v>
      </c>
      <c r="C207" s="59" t="inlineStr">
        <is>
          <t>Show of Strength</t>
        </is>
      </c>
      <c r="D207" s="59" t="inlineStr">
        <is>
          <t>Body</t>
        </is>
      </c>
      <c r="E207" s="59" t="inlineStr">
        <is>
          <t>Spell</t>
        </is>
      </c>
      <c r="F207" s="59" t="inlineStr">
        <is>
          <t>2</t>
        </is>
      </c>
      <c r="G207" s="59" t="inlineStr"/>
      <c r="H207" s="59" t="inlineStr">
        <is>
          <t>Uncommon</t>
        </is>
      </c>
      <c r="I207" s="59" t="inlineStr"/>
      <c r="J207" s="9" t="inlineStr">
        <is>
          <t>[REACTION] (Play any time, even before spells and abilities resolve.)
Draw 1 for each of your [MIGHTY] units. (A unit is Mighty while it has 5+ Might)</t>
        </is>
      </c>
      <c r="K207" s="667" t="n"/>
    </row>
    <row r="208" ht="15" customHeight="1">
      <c r="A208" s="59" t="inlineStr">
        <is>
          <t>SFD-107</t>
        </is>
      </c>
      <c r="B208" s="59" t="n">
        <v>3</v>
      </c>
      <c r="C208" s="59" t="inlineStr">
        <is>
          <t>Strike Down</t>
        </is>
      </c>
      <c r="D208" s="59" t="inlineStr">
        <is>
          <t>Body</t>
        </is>
      </c>
      <c r="E208" s="59" t="inlineStr">
        <is>
          <t>Spell</t>
        </is>
      </c>
      <c r="F208" s="59" t="inlineStr">
        <is>
          <t>3</t>
        </is>
      </c>
      <c r="G208" s="59" t="inlineStr"/>
      <c r="H208" s="59" t="inlineStr">
        <is>
          <t>Uncommon</t>
        </is>
      </c>
      <c r="I208" s="59" t="inlineStr"/>
      <c r="J208" s="9" t="inlineStr">
        <is>
          <t>Choose an equipped friendly unit. It deals damage equal to its Might to an enemy unit. Then detach an Equipment from it.</t>
        </is>
      </c>
      <c r="K208" s="667" t="n"/>
    </row>
    <row r="209" ht="15" customHeight="1">
      <c r="A209" s="59" t="inlineStr">
        <is>
          <t>SFD-108</t>
        </is>
      </c>
      <c r="B209" s="59" t="n">
        <v>3</v>
      </c>
      <c r="C209" s="59" t="inlineStr">
        <is>
          <t>Warmog's Armor</t>
        </is>
      </c>
      <c r="D209" s="59" t="inlineStr">
        <is>
          <t>Body</t>
        </is>
      </c>
      <c r="E209" s="59" t="inlineStr">
        <is>
          <t>Gear</t>
        </is>
      </c>
      <c r="F209" s="59" t="inlineStr">
        <is>
          <t>1</t>
        </is>
      </c>
      <c r="G209" s="59" t="inlineStr">
        <is>
          <t>0</t>
        </is>
      </c>
      <c r="H209" s="59" t="inlineStr">
        <is>
          <t>Uncommon</t>
        </is>
      </c>
      <c r="I209" s="59" t="inlineStr"/>
      <c r="J209" s="9" t="inlineStr">
        <is>
          <t>[EQUIP Body] (Body: Attach this to a unit you control.)
When I conquer, buff me. (If I don't have a buff, I get a +1 Might buff.)+1 Might</t>
        </is>
      </c>
      <c r="K209" s="667" t="n"/>
    </row>
    <row r="210" ht="15" customHeight="1">
      <c r="A210" s="59" t="inlineStr">
        <is>
          <t>SFD-109</t>
        </is>
      </c>
      <c r="B210" s="59" t="n">
        <v>3</v>
      </c>
      <c r="C210" s="59" t="inlineStr">
        <is>
          <t>Akshan - Mischievous</t>
        </is>
      </c>
      <c r="D210" s="59" t="inlineStr">
        <is>
          <t>Body</t>
        </is>
      </c>
      <c r="E210" s="59" t="inlineStr">
        <is>
          <t>Champion Unit</t>
        </is>
      </c>
      <c r="F210" s="59" t="inlineStr">
        <is>
          <t>4</t>
        </is>
      </c>
      <c r="G210" s="59" t="inlineStr">
        <is>
          <t>4</t>
        </is>
      </c>
      <c r="H210" s="59" t="inlineStr">
        <is>
          <t>Rare</t>
        </is>
      </c>
      <c r="I210" s="59" t="inlineStr">
        <is>
          <t>Shurima;Sentinel;Akshan</t>
        </is>
      </c>
      <c r="J210" s="9" t="inlineStr">
        <is>
          <t>[WEAPONMASTER]
You may pay Body Body as an additional cost to play me.
When you play me, if you paid the additional cost, move an enemy gear to your base. You control it until I leave the board. If it's an Equipment, attach it to me.</t>
        </is>
      </c>
      <c r="K210" s="667" t="n"/>
    </row>
    <row r="211" ht="15" customHeight="1">
      <c r="A211" s="59" t="inlineStr">
        <is>
          <t>SFD-110</t>
        </is>
      </c>
      <c r="B211" s="59" t="n">
        <v>2</v>
      </c>
      <c r="C211" s="59" t="inlineStr">
        <is>
          <t>Fiora - Peerless</t>
        </is>
      </c>
      <c r="D211" s="59" t="inlineStr">
        <is>
          <t>Body</t>
        </is>
      </c>
      <c r="E211" s="59" t="inlineStr">
        <is>
          <t>Champion Unit</t>
        </is>
      </c>
      <c r="F211" s="59" t="inlineStr">
        <is>
          <t>3</t>
        </is>
      </c>
      <c r="G211" s="59" t="inlineStr">
        <is>
          <t>3</t>
        </is>
      </c>
      <c r="H211" s="59" t="inlineStr">
        <is>
          <t>Rare</t>
        </is>
      </c>
      <c r="I211" s="59" t="inlineStr">
        <is>
          <t>Demacia;Fiora</t>
        </is>
      </c>
      <c r="J211" s="9" t="inlineStr">
        <is>
          <t>When I attack or defend one on one, double my Might this combat.</t>
        </is>
      </c>
      <c r="K211" s="667" t="n"/>
    </row>
    <row r="212" ht="15" customHeight="1">
      <c r="A212" s="59" t="inlineStr">
        <is>
          <t>SFD-111</t>
        </is>
      </c>
      <c r="B212" s="59" t="n">
        <v>3</v>
      </c>
      <c r="C212" s="59" t="inlineStr">
        <is>
          <t>Here to Help</t>
        </is>
      </c>
      <c r="D212" s="59" t="inlineStr">
        <is>
          <t>Body</t>
        </is>
      </c>
      <c r="E212" s="59" t="inlineStr">
        <is>
          <t>Spell</t>
        </is>
      </c>
      <c r="F212" s="59" t="inlineStr">
        <is>
          <t>2</t>
        </is>
      </c>
      <c r="G212" s="59" t="inlineStr">
        <is>
          <t>0</t>
        </is>
      </c>
      <c r="H212" s="59" t="inlineStr">
        <is>
          <t>Rare</t>
        </is>
      </c>
      <c r="I212" s="59" t="inlineStr"/>
      <c r="J212" s="9" t="inlineStr">
        <is>
          <t>[HIDDEN] (Hide now for Rune to react with later for 0.)
[ACTION] (Play on your turn or in showdowns.)
You may play a unit from hand to a battlefield you control, reducing its cost by 3.</t>
        </is>
      </c>
      <c r="K212" s="667" t="n"/>
    </row>
    <row r="213" ht="15" customHeight="1">
      <c r="A213" s="59" t="inlineStr">
        <is>
          <t>SFD-112</t>
        </is>
      </c>
      <c r="B213" s="59" t="n">
        <v>1</v>
      </c>
      <c r="C213" s="59" t="inlineStr">
        <is>
          <t>Kato the Arm</t>
        </is>
      </c>
      <c r="D213" s="59" t="inlineStr">
        <is>
          <t>Body</t>
        </is>
      </c>
      <c r="E213" s="59" t="inlineStr">
        <is>
          <t>Unit</t>
        </is>
      </c>
      <c r="F213" s="59" t="inlineStr">
        <is>
          <t>4</t>
        </is>
      </c>
      <c r="G213" s="59" t="inlineStr">
        <is>
          <t>3</t>
        </is>
      </c>
      <c r="H213" s="59" t="inlineStr">
        <is>
          <t>Rare</t>
        </is>
      </c>
      <c r="I213" s="59" t="inlineStr">
        <is>
          <t>Noxus</t>
        </is>
      </c>
      <c r="J213" s="9" t="inlineStr">
        <is>
          <t>[DEFLECT] (Opponents must pay Rune to choose me with a spell or ability.)
When I move to a battlefield, give a friendly unit my keywords and +Might equal to my Might this turn.</t>
        </is>
      </c>
      <c r="K213" s="667" t="n"/>
    </row>
    <row r="214" ht="15" customHeight="1">
      <c r="A214" s="59" t="inlineStr">
        <is>
          <t>SFD-113</t>
        </is>
      </c>
      <c r="B214" s="59" t="n">
        <v>2</v>
      </c>
      <c r="C214" s="59" t="inlineStr">
        <is>
          <t>Lucian - Merciless</t>
        </is>
      </c>
      <c r="D214" s="59" t="inlineStr">
        <is>
          <t>Body</t>
        </is>
      </c>
      <c r="E214" s="59" t="inlineStr">
        <is>
          <t>Champion Unit</t>
        </is>
      </c>
      <c r="F214" s="59" t="inlineStr">
        <is>
          <t>3</t>
        </is>
      </c>
      <c r="G214" s="59" t="inlineStr">
        <is>
          <t>3</t>
        </is>
      </c>
      <c r="H214" s="59" t="inlineStr">
        <is>
          <t>Rare</t>
        </is>
      </c>
      <c r="I214" s="59" t="inlineStr">
        <is>
          <t>Demacia;Lucian;Sentinel</t>
        </is>
      </c>
      <c r="J214" s="9" t="inlineStr">
        <is>
          <t>[WEAPONMASTER] (When you play me, you may [Equip] one of your Equipment to me for 1 Rune less, even if it's already attached.) The first time I conquer each turn, ready me.</t>
        </is>
      </c>
      <c r="K214" s="667" t="n"/>
    </row>
    <row r="215" ht="15" customHeight="1">
      <c r="A215" s="59" t="inlineStr">
        <is>
          <t>SFD-115</t>
        </is>
      </c>
      <c r="B215" s="59" t="n">
        <v>3</v>
      </c>
      <c r="C215" s="59" t="inlineStr">
        <is>
          <t>Trinity Force</t>
        </is>
      </c>
      <c r="D215" s="59" t="inlineStr">
        <is>
          <t>Body</t>
        </is>
      </c>
      <c r="E215" s="59" t="inlineStr">
        <is>
          <t>Gear</t>
        </is>
      </c>
      <c r="F215" s="59" t="inlineStr">
        <is>
          <t>4</t>
        </is>
      </c>
      <c r="G215" s="59" t="inlineStr">
        <is>
          <t>0</t>
        </is>
      </c>
      <c r="H215" s="59" t="inlineStr">
        <is>
          <t>Rare</t>
        </is>
      </c>
      <c r="I215" s="59" t="inlineStr">
        <is>
          <t>Equipment</t>
        </is>
      </c>
      <c r="J215" s="9" t="inlineStr">
        <is>
          <t>[EQUIP Body] (Body: Attach this to a unit you control.) When I hold, score 1 point. +2 Might</t>
        </is>
      </c>
      <c r="K215" s="428" t="inlineStr">
        <is>
          <t>MF(3)</t>
        </is>
      </c>
    </row>
    <row r="216" ht="15" customHeight="1">
      <c r="A216" s="59" t="inlineStr">
        <is>
          <t>SFD-116</t>
        </is>
      </c>
      <c r="B216" s="59" t="n">
        <v>3</v>
      </c>
      <c r="C216" s="59" t="inlineStr">
        <is>
          <t>Yone - Blademaster</t>
        </is>
      </c>
      <c r="D216" s="59" t="inlineStr">
        <is>
          <t>Body</t>
        </is>
      </c>
      <c r="E216" s="59" t="inlineStr">
        <is>
          <t>Champion Unit</t>
        </is>
      </c>
      <c r="F216" s="59" t="inlineStr">
        <is>
          <t>5</t>
        </is>
      </c>
      <c r="G216" s="59" t="inlineStr">
        <is>
          <t>5</t>
        </is>
      </c>
      <c r="H216" s="59" t="inlineStr">
        <is>
          <t>Rare</t>
        </is>
      </c>
      <c r="I216" s="59" t="inlineStr">
        <is>
          <t>Ionia;Yone;Demon</t>
        </is>
      </c>
      <c r="J216" s="9" t="inlineStr">
        <is>
          <t>[WEAPONMASTER] (When you play me, you may [EQUIP] one of your Equipment to me for Rune less, even if it's already attached.)
When I conquer an open battlefield, deal damage equal to my Might to an enemy unit in a base.</t>
        </is>
      </c>
      <c r="K216" s="667" t="n"/>
    </row>
    <row r="217" ht="15" customHeight="1">
      <c r="A217" s="59" t="inlineStr">
        <is>
          <t>SFD-119</t>
        </is>
      </c>
      <c r="B217" s="59" t="n">
        <v>1</v>
      </c>
      <c r="C217" s="59" t="inlineStr">
        <is>
          <t>Jax - Unrelenting</t>
        </is>
      </c>
      <c r="D217" s="59" t="inlineStr">
        <is>
          <t>Body</t>
        </is>
      </c>
      <c r="E217" s="59" t="inlineStr">
        <is>
          <t>Champion Unit</t>
        </is>
      </c>
      <c r="F217" s="59" t="inlineStr">
        <is>
          <t>4</t>
        </is>
      </c>
      <c r="G217" s="59" t="inlineStr">
        <is>
          <t>3</t>
        </is>
      </c>
      <c r="H217" s="59" t="inlineStr">
        <is>
          <t>Epic</t>
        </is>
      </c>
      <c r="I217" s="59" t="inlineStr">
        <is>
          <t>Jax;Icathia</t>
        </is>
      </c>
      <c r="J217" s="9" t="inlineStr">
        <is>
          <t>[WEAPONMASTER] (When you play me, you may [Equip] one of your Equipment to me for 1 Rune less, even if it's already attached.) When you attach an Equipment to me, you may pay 1 to draw 1.</t>
        </is>
      </c>
      <c r="K217" s="667" t="n"/>
    </row>
    <row r="218" ht="15" customHeight="1">
      <c r="A218" s="55" t="inlineStr">
        <is>
          <t>SFD-121</t>
        </is>
      </c>
      <c r="B218" s="55" t="n">
        <v>2</v>
      </c>
      <c r="C218" s="55" t="inlineStr">
        <is>
          <t>Black Market Broker</t>
        </is>
      </c>
      <c r="D218" s="55" t="inlineStr">
        <is>
          <t>Chaos</t>
        </is>
      </c>
      <c r="E218" s="55" t="inlineStr">
        <is>
          <t>Unit</t>
        </is>
      </c>
      <c r="F218" s="55" t="inlineStr">
        <is>
          <t>3</t>
        </is>
      </c>
      <c r="G218" s="55" t="inlineStr">
        <is>
          <t>3</t>
        </is>
      </c>
      <c r="H218" s="55" t="inlineStr">
        <is>
          <t>Common</t>
        </is>
      </c>
      <c r="I218" s="55" t="inlineStr">
        <is>
          <t>Zaun</t>
        </is>
      </c>
      <c r="J218" s="11" t="inlineStr">
        <is>
          <t>When you play a card from face down, play a gold gear token exhausted.</t>
        </is>
      </c>
      <c r="K218" s="710" t="n"/>
    </row>
    <row r="219" ht="15" customHeight="1">
      <c r="A219" s="55" t="inlineStr">
        <is>
          <t>SFD-122</t>
        </is>
      </c>
      <c r="B219" s="55" t="n">
        <v>1</v>
      </c>
      <c r="C219" s="55" t="inlineStr">
        <is>
          <t>Called Shot</t>
        </is>
      </c>
      <c r="D219" s="55" t="inlineStr">
        <is>
          <t>Chaos</t>
        </is>
      </c>
      <c r="E219" s="55" t="inlineStr">
        <is>
          <t>Spell</t>
        </is>
      </c>
      <c r="F219" s="55" t="inlineStr">
        <is>
          <t>0</t>
        </is>
      </c>
      <c r="G219" s="55" t="inlineStr">
        <is>
          <t>0</t>
        </is>
      </c>
      <c r="H219" s="55" t="inlineStr">
        <is>
          <t>Common</t>
        </is>
      </c>
      <c r="I219" s="55" t="inlineStr"/>
      <c r="J219" s="11" t="inlineStr">
        <is>
          <t>[ACTION] (Play on your turn or in showdowns.)
[REPEAT Chaos] (You may pay the additional cost to repeat this spell's effect.)
Look at the top 2 cards of your Main Deck. Draw one and recycle the other.</t>
        </is>
      </c>
      <c r="K219" s="667" t="n"/>
    </row>
    <row r="220" ht="15" customHeight="1">
      <c r="A220" s="55" t="inlineStr">
        <is>
          <t>SFD-123</t>
        </is>
      </c>
      <c r="B220" s="55" t="n">
        <v>3</v>
      </c>
      <c r="C220" s="55" t="inlineStr">
        <is>
          <t>Corrupt Enforcer</t>
        </is>
      </c>
      <c r="D220" s="55" t="inlineStr">
        <is>
          <t>Chaos</t>
        </is>
      </c>
      <c r="E220" s="55" t="inlineStr">
        <is>
          <t>Unit</t>
        </is>
      </c>
      <c r="F220" s="55" t="inlineStr">
        <is>
          <t>3</t>
        </is>
      </c>
      <c r="G220" s="55" t="inlineStr">
        <is>
          <t>4</t>
        </is>
      </c>
      <c r="H220" s="55" t="inlineStr">
        <is>
          <t>Common</t>
        </is>
      </c>
      <c r="I220" s="55" t="inlineStr">
        <is>
          <t>Piltover</t>
        </is>
      </c>
      <c r="J220" s="11" t="inlineStr">
        <is>
          <t>When I move to a battlefield, discard 1.
When I win combat, draw 1.</t>
        </is>
      </c>
      <c r="K220" s="428" t="inlineStr">
        <is>
          <t>MF(3)</t>
        </is>
      </c>
    </row>
    <row r="221" ht="15" customHeight="1">
      <c r="A221" s="55" t="inlineStr">
        <is>
          <t>SFD-124</t>
        </is>
      </c>
      <c r="B221" s="55" t="n">
        <v>3</v>
      </c>
      <c r="C221" s="55" t="inlineStr">
        <is>
          <t>Doran's Ring</t>
        </is>
      </c>
      <c r="D221" s="55" t="inlineStr">
        <is>
          <t>Chaos</t>
        </is>
      </c>
      <c r="E221" s="55" t="inlineStr">
        <is>
          <t>Gear</t>
        </is>
      </c>
      <c r="F221" s="55" t="inlineStr">
        <is>
          <t>1</t>
        </is>
      </c>
      <c r="G221" s="55" t="inlineStr">
        <is>
          <t>1</t>
        </is>
      </c>
      <c r="H221" s="55" t="inlineStr">
        <is>
          <t>Common</t>
        </is>
      </c>
      <c r="I221" s="55" t="inlineStr">
        <is>
          <t>Equipment</t>
        </is>
      </c>
      <c r="J221" s="11" t="inlineStr">
        <is>
          <t>[EQUIP Chaos] (Chaos: Attach this to a unit you control.)
When I conquer, discard 1, then draw 1. +1 Might</t>
        </is>
      </c>
      <c r="K221" s="667" t="n"/>
    </row>
    <row r="222" ht="15" customHeight="1">
      <c r="A222" s="55" t="inlineStr">
        <is>
          <t>SFD-125</t>
        </is>
      </c>
      <c r="B222" s="55" t="n">
        <v>3</v>
      </c>
      <c r="C222" s="55" t="inlineStr">
        <is>
          <t>Fae Porter</t>
        </is>
      </c>
      <c r="D222" s="55" t="inlineStr">
        <is>
          <t>Chaos</t>
        </is>
      </c>
      <c r="E222" s="55" t="inlineStr">
        <is>
          <t>Unit</t>
        </is>
      </c>
      <c r="F222" s="55" t="inlineStr">
        <is>
          <t>4</t>
        </is>
      </c>
      <c r="G222" s="55" t="inlineStr">
        <is>
          <t>4</t>
        </is>
      </c>
      <c r="H222" s="55" t="inlineStr">
        <is>
          <t>Common</t>
        </is>
      </c>
      <c r="I222" s="55" t="inlineStr">
        <is>
          <t>Ionia;Fae</t>
        </is>
      </c>
      <c r="J222" s="11" t="inlineStr">
        <is>
          <t>When I move to a battlefield, you may pay Chaos to move a unit you control to the same battlefield.</t>
        </is>
      </c>
      <c r="K222" s="428" t="inlineStr">
        <is>
          <t>MF(3)</t>
        </is>
      </c>
    </row>
    <row r="223" ht="15" customHeight="1">
      <c r="A223" s="55" t="inlineStr">
        <is>
          <t>SFD-126</t>
        </is>
      </c>
      <c r="B223" s="55" t="n">
        <v>3</v>
      </c>
      <c r="C223" s="55" t="inlineStr">
        <is>
          <t>Loyal Pup</t>
        </is>
      </c>
      <c r="D223" s="55" t="inlineStr">
        <is>
          <t>Chaos</t>
        </is>
      </c>
      <c r="E223" s="55" t="inlineStr">
        <is>
          <t>Unit</t>
        </is>
      </c>
      <c r="F223" s="55" t="inlineStr">
        <is>
          <t>3</t>
        </is>
      </c>
      <c r="G223" s="55" t="inlineStr">
        <is>
          <t>3</t>
        </is>
      </c>
      <c r="H223" s="55" t="inlineStr">
        <is>
          <t>Common</t>
        </is>
      </c>
      <c r="I223" s="55" t="inlineStr">
        <is>
          <t>Bandle City;Dog</t>
        </is>
      </c>
      <c r="J223" s="11" t="inlineStr">
        <is>
          <t>When you defend at a battlefield, you may move me there.</t>
        </is>
      </c>
      <c r="K223" s="667" t="n"/>
    </row>
    <row r="224" ht="15" customHeight="1">
      <c r="A224" s="55" t="inlineStr">
        <is>
          <t>SFD-127</t>
        </is>
      </c>
      <c r="B224" s="55" t="n">
        <v>3</v>
      </c>
      <c r="C224" s="55" t="inlineStr">
        <is>
          <t>Master Bingwen</t>
        </is>
      </c>
      <c r="D224" s="55" t="inlineStr">
        <is>
          <t>Chaos</t>
        </is>
      </c>
      <c r="E224" s="55" t="inlineStr">
        <is>
          <t>Unit</t>
        </is>
      </c>
      <c r="F224" s="55" t="inlineStr">
        <is>
          <t>6</t>
        </is>
      </c>
      <c r="G224" s="55" t="inlineStr">
        <is>
          <t>6</t>
        </is>
      </c>
      <c r="H224" s="55" t="inlineStr">
        <is>
          <t>Common</t>
        </is>
      </c>
      <c r="I224" s="55" t="inlineStr">
        <is>
          <t>Ionia</t>
        </is>
      </c>
      <c r="J224" s="11" t="inlineStr">
        <is>
          <t>[WEAPONMASTER] (When you play me, you may [EQUIP] one of your Equipment to me for 1 Rune less, even if it's already attached.)</t>
        </is>
      </c>
      <c r="K224" s="667" t="n"/>
    </row>
    <row r="225" ht="15" customHeight="1">
      <c r="A225" s="55" t="inlineStr">
        <is>
          <t>SFD-128</t>
        </is>
      </c>
      <c r="B225" s="55" t="n">
        <v>1</v>
      </c>
      <c r="C225" s="55" t="inlineStr">
        <is>
          <t>Overzealous Fan</t>
        </is>
      </c>
      <c r="D225" s="55" t="inlineStr">
        <is>
          <t>Chaos</t>
        </is>
      </c>
      <c r="E225" s="55" t="inlineStr">
        <is>
          <t>Unit</t>
        </is>
      </c>
      <c r="F225" s="55" t="inlineStr">
        <is>
          <t>2</t>
        </is>
      </c>
      <c r="G225" s="55" t="inlineStr">
        <is>
          <t>2</t>
        </is>
      </c>
      <c r="H225" s="55" t="inlineStr">
        <is>
          <t>Common</t>
        </is>
      </c>
      <c r="I225" s="55" t="inlineStr">
        <is>
          <t>Noxus</t>
        </is>
      </c>
      <c r="J225" s="11" t="inlineStr">
        <is>
          <t>When I defend, you may kill me to move an attacking unit to its base.</t>
        </is>
      </c>
      <c r="K225" s="667" t="n"/>
    </row>
    <row r="226" ht="15" customHeight="1">
      <c r="A226" s="55" t="inlineStr">
        <is>
          <t>SFD-129</t>
        </is>
      </c>
      <c r="B226" s="55" t="n">
        <v>2</v>
      </c>
      <c r="C226" s="55" t="inlineStr">
        <is>
          <t>Temptation</t>
        </is>
      </c>
      <c r="D226" s="55" t="inlineStr">
        <is>
          <t>Chaos</t>
        </is>
      </c>
      <c r="E226" s="55" t="inlineStr">
        <is>
          <t>Spell</t>
        </is>
      </c>
      <c r="F226" s="55" t="inlineStr">
        <is>
          <t>2</t>
        </is>
      </c>
      <c r="G226" s="55" t="inlineStr"/>
      <c r="H226" s="55" t="inlineStr">
        <is>
          <t>Common</t>
        </is>
      </c>
      <c r="I226" s="55" t="inlineStr"/>
      <c r="J226" s="11" t="inlineStr">
        <is>
          <t>[REPEAT 2] (You may pay the additional cost to repeat this spell's effect.)
Move an enemy unit to a location where there's a unit with the same controller.</t>
        </is>
      </c>
      <c r="K226" s="428" t="inlineStr">
        <is>
          <t>MF(2)</t>
        </is>
      </c>
    </row>
    <row r="227" ht="15" customHeight="1">
      <c r="A227" s="55" t="inlineStr">
        <is>
          <t>SFD-130</t>
        </is>
      </c>
      <c r="B227" s="55" t="n">
        <v>3</v>
      </c>
      <c r="C227" s="55" t="inlineStr">
        <is>
          <t>Treasure Hunter</t>
        </is>
      </c>
      <c r="D227" s="55" t="inlineStr">
        <is>
          <t>Chaos</t>
        </is>
      </c>
      <c r="E227" s="55" t="inlineStr">
        <is>
          <t>Unit</t>
        </is>
      </c>
      <c r="F227" s="55" t="inlineStr">
        <is>
          <t>2</t>
        </is>
      </c>
      <c r="G227" s="55" t="inlineStr">
        <is>
          <t>1</t>
        </is>
      </c>
      <c r="H227" s="55" t="inlineStr">
        <is>
          <t>Common</t>
        </is>
      </c>
      <c r="I227" s="55" t="inlineStr">
        <is>
          <t>Shurima</t>
        </is>
      </c>
      <c r="J227" s="11" t="inlineStr">
        <is>
          <t>When I move, play a Gold gear token exhausted.</t>
        </is>
      </c>
      <c r="K227" s="428" t="inlineStr">
        <is>
          <t>MF(3)</t>
        </is>
      </c>
    </row>
    <row r="228" ht="15" customHeight="1">
      <c r="A228" s="55" t="inlineStr">
        <is>
          <t>SFD-134</t>
        </is>
      </c>
      <c r="B228" s="55" t="n">
        <v>1</v>
      </c>
      <c r="C228" s="55" t="inlineStr">
        <is>
          <t>Cull</t>
        </is>
      </c>
      <c r="D228" s="55" t="inlineStr">
        <is>
          <t>Chaos</t>
        </is>
      </c>
      <c r="E228" s="55" t="inlineStr">
        <is>
          <t>Gear</t>
        </is>
      </c>
      <c r="F228" s="55" t="inlineStr">
        <is>
          <t>1</t>
        </is>
      </c>
      <c r="G228" s="55" t="inlineStr"/>
      <c r="H228" s="55" t="inlineStr">
        <is>
          <t>Uncommon</t>
        </is>
      </c>
      <c r="I228" s="55" t="inlineStr">
        <is>
          <t>Equipment</t>
        </is>
      </c>
      <c r="J228" s="11" t="inlineStr">
        <is>
          <t>[EQUIP Chaos] (Chaos: Attach this to a unit you control.)
When I conquer play a Gold gear token exhausted.
Might +1</t>
        </is>
      </c>
      <c r="K228" s="667" t="n"/>
    </row>
    <row r="229" ht="15" customHeight="1">
      <c r="A229" s="55" t="inlineStr">
        <is>
          <t>SFD-135</t>
        </is>
      </c>
      <c r="B229" s="55" t="n">
        <v>1</v>
      </c>
      <c r="C229" s="55" t="inlineStr">
        <is>
          <t>Factory Recall</t>
        </is>
      </c>
      <c r="D229" s="55" t="inlineStr">
        <is>
          <t>Chaos</t>
        </is>
      </c>
      <c r="E229" s="55" t="inlineStr">
        <is>
          <t>Spell</t>
        </is>
      </c>
      <c r="F229" s="55" t="inlineStr">
        <is>
          <t>1</t>
        </is>
      </c>
      <c r="G229" s="55" t="inlineStr"/>
      <c r="H229" s="55" t="inlineStr">
        <is>
          <t>Uncommon</t>
        </is>
      </c>
      <c r="I229" s="55" t="inlineStr"/>
      <c r="J229" s="11" t="inlineStr">
        <is>
          <t>[ACTION] (Play on your turn or in showdowns)
Return a gear to its owner's hand.</t>
        </is>
      </c>
      <c r="K229" s="667" t="n"/>
    </row>
    <row r="230" ht="15" customHeight="1">
      <c r="A230" s="55" t="inlineStr">
        <is>
          <t>SFD-136</t>
        </is>
      </c>
      <c r="B230" s="55" t="n">
        <v>1</v>
      </c>
      <c r="C230" s="55" t="inlineStr">
        <is>
          <t>Hard Bargain</t>
        </is>
      </c>
      <c r="D230" s="55" t="inlineStr">
        <is>
          <t>Chaos</t>
        </is>
      </c>
      <c r="E230" s="55" t="inlineStr">
        <is>
          <t>Spell</t>
        </is>
      </c>
      <c r="F230" s="55" t="inlineStr">
        <is>
          <t>2</t>
        </is>
      </c>
      <c r="G230" s="55" t="inlineStr"/>
      <c r="H230" s="55" t="inlineStr">
        <is>
          <t>Uncommon</t>
        </is>
      </c>
      <c r="I230" s="55" t="inlineStr"/>
      <c r="J230" s="11" t="inlineStr">
        <is>
          <t>[REACTION] (Play any time, even before spells and abilities resolve.)
[REPEAT 2] (You may pay the additional cost to repeat this spell's effect.)
Counter a spell unless its controller pays 2.</t>
        </is>
      </c>
      <c r="K230" s="667" t="n"/>
    </row>
    <row r="231" ht="15" customHeight="1">
      <c r="A231" s="55" t="inlineStr">
        <is>
          <t>SFD-137</t>
        </is>
      </c>
      <c r="B231" s="55" t="n">
        <v>3</v>
      </c>
      <c r="C231" s="55" t="inlineStr">
        <is>
          <t>Harpoon Squad</t>
        </is>
      </c>
      <c r="D231" s="55" t="inlineStr">
        <is>
          <t>Chaos</t>
        </is>
      </c>
      <c r="E231" s="55" t="inlineStr">
        <is>
          <t>Unit</t>
        </is>
      </c>
      <c r="F231" s="55" t="inlineStr">
        <is>
          <t>4</t>
        </is>
      </c>
      <c r="G231" s="55" t="inlineStr">
        <is>
          <t>4</t>
        </is>
      </c>
      <c r="H231" s="55" t="inlineStr">
        <is>
          <t>Uncommon</t>
        </is>
      </c>
      <c r="I231" s="55" t="inlineStr">
        <is>
          <t>Bilgewater;Pirate</t>
        </is>
      </c>
      <c r="J231" s="11" t="inlineStr">
        <is>
          <t>When I move from a battlefield, give me +2 might this turn.</t>
        </is>
      </c>
      <c r="K231" s="428" t="inlineStr">
        <is>
          <t>MF(3)</t>
        </is>
      </c>
    </row>
    <row r="232" ht="15" customHeight="1">
      <c r="A232" s="55" t="inlineStr">
        <is>
          <t>SFD-139</t>
        </is>
      </c>
      <c r="B232" s="55" t="n">
        <v>1</v>
      </c>
      <c r="C232" s="55" t="inlineStr">
        <is>
          <t>Edge of Night</t>
        </is>
      </c>
      <c r="D232" s="55" t="inlineStr">
        <is>
          <t>Chaos</t>
        </is>
      </c>
      <c r="E232" s="55" t="inlineStr">
        <is>
          <t>Gear</t>
        </is>
      </c>
      <c r="F232" s="55" t="inlineStr">
        <is>
          <t>3</t>
        </is>
      </c>
      <c r="G232" s="55" t="inlineStr"/>
      <c r="H232" s="55" t="inlineStr">
        <is>
          <t>Rare</t>
        </is>
      </c>
      <c r="I232" s="55" t="inlineStr">
        <is>
          <t>Equipment</t>
        </is>
      </c>
      <c r="J232" s="11" t="inlineStr">
        <is>
          <t>[HIDDEN] (Hide now for 1 Rune to react with later for 0.)
When you play this from face down, attach it to a unit you control here.
[Equip Chaos] (Chaos: Attach this to a unit you control.)
+2 Might</t>
        </is>
      </c>
      <c r="K232" s="667" t="n"/>
    </row>
    <row r="233" ht="15" customHeight="1">
      <c r="A233" s="55" t="inlineStr">
        <is>
          <t>SFD-141</t>
        </is>
      </c>
      <c r="B233" s="55" t="n">
        <v>1</v>
      </c>
      <c r="C233" s="55" t="inlineStr">
        <is>
          <t>Irelia - Graceful</t>
        </is>
      </c>
      <c r="D233" s="55" t="inlineStr">
        <is>
          <t>Chaos</t>
        </is>
      </c>
      <c r="E233" s="55" t="inlineStr">
        <is>
          <t>Champion Unit</t>
        </is>
      </c>
      <c r="F233" s="55" t="inlineStr">
        <is>
          <t>4</t>
        </is>
      </c>
      <c r="G233" s="55" t="inlineStr">
        <is>
          <t>4</t>
        </is>
      </c>
      <c r="H233" s="55" t="inlineStr">
        <is>
          <t>Showcase</t>
        </is>
      </c>
      <c r="I233" s="55" t="inlineStr">
        <is>
          <t>Ionia;Irelia</t>
        </is>
      </c>
      <c r="J233" s="11" t="inlineStr">
        <is>
          <t>Your spells that choose me cost 1 or Rune less.</t>
        </is>
      </c>
      <c r="K233" s="667" t="n"/>
    </row>
    <row r="234" ht="15" customHeight="1">
      <c r="A234" s="55" t="inlineStr">
        <is>
          <t>SFD-143</t>
        </is>
      </c>
      <c r="B234" s="55" t="n">
        <v>1</v>
      </c>
      <c r="C234" s="55" t="inlineStr">
        <is>
          <t>Sivir - Mercenary</t>
        </is>
      </c>
      <c r="D234" s="55" t="inlineStr">
        <is>
          <t>Chaos</t>
        </is>
      </c>
      <c r="E234" s="55" t="inlineStr">
        <is>
          <t>Champion Unit</t>
        </is>
      </c>
      <c r="F234" s="55" t="inlineStr">
        <is>
          <t>4</t>
        </is>
      </c>
      <c r="G234" s="55" t="inlineStr">
        <is>
          <t>4</t>
        </is>
      </c>
      <c r="H234" s="55" t="inlineStr">
        <is>
          <t>Rare</t>
        </is>
      </c>
      <c r="I234" s="55" t="inlineStr">
        <is>
          <t>Shurima;Sivir</t>
        </is>
      </c>
      <c r="J234" s="11" t="inlineStr">
        <is>
          <t>[ACCELERATE] (You may pay 1, Chaos as an additional cost to have me enter ready.) If you've spent at least 2 Runes this turn, I have +2 Might and [GANKING]. (I can move from battlefield to battlefield.)</t>
        </is>
      </c>
      <c r="K234" s="667" t="n"/>
    </row>
    <row r="235" ht="15" customHeight="1">
      <c r="A235" s="55" t="inlineStr">
        <is>
          <t>SFD-144</t>
        </is>
      </c>
      <c r="B235" s="55" t="n">
        <v>1</v>
      </c>
      <c r="C235" s="55" t="inlineStr">
        <is>
          <t>Spirit Wheel</t>
        </is>
      </c>
      <c r="D235" s="55" t="inlineStr">
        <is>
          <t>Chaos</t>
        </is>
      </c>
      <c r="E235" s="55" t="inlineStr">
        <is>
          <t>Gear</t>
        </is>
      </c>
      <c r="F235" s="55" t="inlineStr">
        <is>
          <t>2</t>
        </is>
      </c>
      <c r="G235" s="55" t="inlineStr"/>
      <c r="H235" s="55" t="inlineStr">
        <is>
          <t>Rare</t>
        </is>
      </c>
      <c r="I235" s="55" t="inlineStr"/>
      <c r="J235" s="11" t="inlineStr">
        <is>
          <t>When you choose a friendly unit, you may pay 1 and exhaust this to draw 1.</t>
        </is>
      </c>
      <c r="K235" s="667" t="n"/>
    </row>
    <row r="236" ht="15" customHeight="1">
      <c r="A236" s="58" t="inlineStr">
        <is>
          <t>SFD-151</t>
        </is>
      </c>
      <c r="B236" s="58" t="n">
        <v>3</v>
      </c>
      <c r="C236" s="58" t="inlineStr">
        <is>
          <t>Bonds of Strength</t>
        </is>
      </c>
      <c r="D236" s="58" t="inlineStr">
        <is>
          <t>Order</t>
        </is>
      </c>
      <c r="E236" s="58" t="inlineStr">
        <is>
          <t>Spell</t>
        </is>
      </c>
      <c r="F236" s="58" t="inlineStr">
        <is>
          <t>2</t>
        </is>
      </c>
      <c r="G236" s="58" t="inlineStr"/>
      <c r="H236" s="58" t="inlineStr">
        <is>
          <t>Uncommon</t>
        </is>
      </c>
      <c r="I236" s="58" t="inlineStr"/>
      <c r="J236" s="13" t="inlineStr">
        <is>
          <t>[REACTION] (Play any time, even before spells and abilities resolve.)
[REPEAT 2] (You may pay the additional cost to repeat this spell's effect.)
Give two friendly units each +1 Might this turn.</t>
        </is>
      </c>
      <c r="K236" s="667" t="n"/>
    </row>
    <row r="237" ht="15" customHeight="1">
      <c r="A237" s="58" t="inlineStr">
        <is>
          <t>SFD-152</t>
        </is>
      </c>
      <c r="B237" s="58" t="n">
        <v>2</v>
      </c>
      <c r="C237" s="58" t="inlineStr">
        <is>
          <t>Eminent Benefactor</t>
        </is>
      </c>
      <c r="D237" s="58" t="inlineStr">
        <is>
          <t>Order</t>
        </is>
      </c>
      <c r="E237" s="58" t="inlineStr">
        <is>
          <t>Unit</t>
        </is>
      </c>
      <c r="F237" s="58" t="inlineStr">
        <is>
          <t>6</t>
        </is>
      </c>
      <c r="G237" s="58" t="inlineStr">
        <is>
          <t>5</t>
        </is>
      </c>
      <c r="H237" s="58" t="inlineStr">
        <is>
          <t>Common</t>
        </is>
      </c>
      <c r="I237" s="58" t="inlineStr">
        <is>
          <t>Piltover</t>
        </is>
      </c>
      <c r="J237" s="13" t="inlineStr">
        <is>
          <t>When I hold, play two Gold gear tokens exhausted.</t>
        </is>
      </c>
      <c r="K237" s="667" t="n"/>
    </row>
    <row r="238" ht="15" customHeight="1">
      <c r="A238" s="58" t="inlineStr">
        <is>
          <t>SFD-153</t>
        </is>
      </c>
      <c r="B238" s="58" t="n">
        <v>3</v>
      </c>
      <c r="C238" s="58" t="inlineStr">
        <is>
          <t>Eye of the Herald</t>
        </is>
      </c>
      <c r="D238" s="58" t="inlineStr">
        <is>
          <t>Order</t>
        </is>
      </c>
      <c r="E238" s="58" t="inlineStr">
        <is>
          <t>Gear</t>
        </is>
      </c>
      <c r="F238" s="58" t="inlineStr">
        <is>
          <t>1</t>
        </is>
      </c>
      <c r="G238" s="58" t="inlineStr"/>
      <c r="H238" s="58" t="inlineStr">
        <is>
          <t>Common</t>
        </is>
      </c>
      <c r="I238" s="58" t="inlineStr">
        <is>
          <t>Equipment</t>
        </is>
      </c>
      <c r="J238" s="13" t="inlineStr">
        <is>
          <t>[EQUIP Order] (Order: Attach this to a unit you control.)
When I move, play a 1 Might Recruit unit token here.</t>
        </is>
      </c>
      <c r="K238" s="428" t="inlineStr">
        <is>
          <t>Azir(3)</t>
        </is>
      </c>
    </row>
    <row r="239" ht="15" customHeight="1">
      <c r="A239" s="58" t="inlineStr">
        <is>
          <t>SFD-154</t>
        </is>
      </c>
      <c r="B239" s="58" t="n">
        <v>3</v>
      </c>
      <c r="C239" s="58" t="inlineStr">
        <is>
          <t>Guards!</t>
        </is>
      </c>
      <c r="D239" s="58" t="inlineStr">
        <is>
          <t>Order</t>
        </is>
      </c>
      <c r="E239" s="58" t="inlineStr">
        <is>
          <t>Spell</t>
        </is>
      </c>
      <c r="F239" s="58" t="inlineStr">
        <is>
          <t>3</t>
        </is>
      </c>
      <c r="G239" s="58" t="inlineStr"/>
      <c r="H239" s="58" t="inlineStr">
        <is>
          <t>Common</t>
        </is>
      </c>
      <c r="I239" s="58" t="inlineStr"/>
      <c r="J239" s="13" t="inlineStr">
        <is>
          <t>[HIDDEN] (Hide now for Rune to react with later for 0.)
Play a 2 Might Sand Soldier unit token. You may pay Order to ready it.</t>
        </is>
      </c>
      <c r="K239" s="428" t="inlineStr">
        <is>
          <t>Azir(3)</t>
        </is>
      </c>
    </row>
    <row r="240" ht="15" customHeight="1">
      <c r="A240" s="58" t="inlineStr">
        <is>
          <t>SFD-155</t>
        </is>
      </c>
      <c r="B240" s="58" t="n">
        <v>2</v>
      </c>
      <c r="C240" s="58" t="inlineStr">
        <is>
          <t>Honest Broker</t>
        </is>
      </c>
      <c r="D240" s="58" t="inlineStr">
        <is>
          <t>Order</t>
        </is>
      </c>
      <c r="E240" s="58" t="inlineStr">
        <is>
          <t>Unit</t>
        </is>
      </c>
      <c r="F240" s="58" t="inlineStr">
        <is>
          <t>2</t>
        </is>
      </c>
      <c r="G240" s="58" t="inlineStr">
        <is>
          <t>2</t>
        </is>
      </c>
      <c r="H240" s="58" t="inlineStr">
        <is>
          <t>Common</t>
        </is>
      </c>
      <c r="I240" s="58" t="inlineStr">
        <is>
          <t>Ionia</t>
        </is>
      </c>
      <c r="J240" s="13" t="inlineStr">
        <is>
          <t>[DEATHKNELL] — Play a gold gear token exhausted. (When I die, get the effect.)</t>
        </is>
      </c>
      <c r="K240" s="667" t="n"/>
    </row>
    <row r="241" ht="15" customHeight="1">
      <c r="A241" s="58" t="inlineStr">
        <is>
          <t>SFD-156</t>
        </is>
      </c>
      <c r="B241" s="58" t="n">
        <v>3</v>
      </c>
      <c r="C241" s="58" t="inlineStr">
        <is>
          <t>Laurent Duelist</t>
        </is>
      </c>
      <c r="D241" s="58" t="inlineStr">
        <is>
          <t>Order</t>
        </is>
      </c>
      <c r="E241" s="58" t="inlineStr">
        <is>
          <t>Unit</t>
        </is>
      </c>
      <c r="F241" s="58" t="inlineStr">
        <is>
          <t>4</t>
        </is>
      </c>
      <c r="G241" s="58" t="inlineStr">
        <is>
          <t>3</t>
        </is>
      </c>
      <c r="H241" s="58" t="inlineStr">
        <is>
          <t>Common</t>
        </is>
      </c>
      <c r="I241" s="58" t="inlineStr">
        <is>
          <t>Demacia</t>
        </is>
      </c>
      <c r="J241" s="13" t="inlineStr">
        <is>
          <t>[ASSAULT 2] (+2 Might while I'm an attacker.)</t>
        </is>
      </c>
      <c r="K241" s="667" t="n"/>
    </row>
    <row r="242" ht="15" customHeight="1">
      <c r="A242" s="58" t="inlineStr">
        <is>
          <t>SFD-157</t>
        </is>
      </c>
      <c r="B242" s="58" t="n">
        <v>3</v>
      </c>
      <c r="C242" s="58" t="inlineStr">
        <is>
          <t>Royal Guard</t>
        </is>
      </c>
      <c r="D242" s="58" t="inlineStr">
        <is>
          <t>Order</t>
        </is>
      </c>
      <c r="E242" s="58" t="inlineStr">
        <is>
          <t>Unit</t>
        </is>
      </c>
      <c r="F242" s="58" t="inlineStr">
        <is>
          <t>4</t>
        </is>
      </c>
      <c r="G242" s="58" t="inlineStr">
        <is>
          <t>2</t>
        </is>
      </c>
      <c r="H242" s="58" t="inlineStr">
        <is>
          <t>Uncommon</t>
        </is>
      </c>
      <c r="I242" s="58" t="inlineStr">
        <is>
          <t>Shurima</t>
        </is>
      </c>
      <c r="J242" s="13" t="inlineStr">
        <is>
          <t>When you play me, play a 2 Might Sand Soldier unit token here.</t>
        </is>
      </c>
      <c r="K242" s="428" t="inlineStr">
        <is>
          <t>Azir SB(3)</t>
        </is>
      </c>
    </row>
    <row r="243" ht="15" customHeight="1">
      <c r="A243" s="58" t="inlineStr">
        <is>
          <t>SFD-158</t>
        </is>
      </c>
      <c r="B243" s="58" t="n">
        <v>3</v>
      </c>
      <c r="C243" s="58" t="inlineStr">
        <is>
          <t>Sandshifter</t>
        </is>
      </c>
      <c r="D243" s="58" t="inlineStr">
        <is>
          <t>Order</t>
        </is>
      </c>
      <c r="E243" s="58" t="inlineStr">
        <is>
          <t>Unit</t>
        </is>
      </c>
      <c r="F243" s="58" t="inlineStr">
        <is>
          <t>5</t>
        </is>
      </c>
      <c r="G243" s="58" t="inlineStr">
        <is>
          <t>6</t>
        </is>
      </c>
      <c r="H243" s="58" t="inlineStr">
        <is>
          <t>Common</t>
        </is>
      </c>
      <c r="I243" s="58" t="inlineStr">
        <is>
          <t>Shurima</t>
        </is>
      </c>
      <c r="J243" s="13" t="inlineStr">
        <is>
          <t>When you play me, kill an enemy unit with 3 Might or less.</t>
        </is>
      </c>
      <c r="K243" s="428" t="inlineStr">
        <is>
          <t>Azir SB(1)</t>
        </is>
      </c>
    </row>
    <row r="244" ht="15" customHeight="1">
      <c r="A244" s="58" t="inlineStr">
        <is>
          <t>SFD-159</t>
        </is>
      </c>
      <c r="B244" s="58" t="n">
        <v>3</v>
      </c>
      <c r="C244" s="58" t="inlineStr">
        <is>
          <t>Trusty Ramhound</t>
        </is>
      </c>
      <c r="D244" s="58" t="inlineStr">
        <is>
          <t>Order</t>
        </is>
      </c>
      <c r="E244" s="58" t="inlineStr">
        <is>
          <t>Unit</t>
        </is>
      </c>
      <c r="F244" s="58" t="inlineStr">
        <is>
          <t>2</t>
        </is>
      </c>
      <c r="G244" s="58" t="inlineStr">
        <is>
          <t>2</t>
        </is>
      </c>
      <c r="H244" s="58" t="inlineStr">
        <is>
          <t>Common</t>
        </is>
      </c>
      <c r="I244" s="58" t="inlineStr">
        <is>
          <t>Demacia;Elite;Dog</t>
        </is>
      </c>
      <c r="J244" s="13" t="inlineStr">
        <is>
          <t>While you have another unit here, I have +1 Might.</t>
        </is>
      </c>
      <c r="K244" s="428" t="inlineStr">
        <is>
          <t>Azir SB(3)</t>
        </is>
      </c>
    </row>
    <row r="245" ht="15" customHeight="1">
      <c r="A245" s="58" t="inlineStr">
        <is>
          <t>SFD-160</t>
        </is>
      </c>
      <c r="B245" s="58" t="n">
        <v>3</v>
      </c>
      <c r="C245" s="58" t="inlineStr">
        <is>
          <t>Zaun Punk</t>
        </is>
      </c>
      <c r="D245" s="58" t="inlineStr">
        <is>
          <t>Order</t>
        </is>
      </c>
      <c r="E245" s="58" t="inlineStr">
        <is>
          <t>Unit</t>
        </is>
      </c>
      <c r="F245" s="58" t="inlineStr">
        <is>
          <t>3</t>
        </is>
      </c>
      <c r="G245" s="58" t="inlineStr">
        <is>
          <t>3</t>
        </is>
      </c>
      <c r="H245" s="58" t="inlineStr">
        <is>
          <t>Common</t>
        </is>
      </c>
      <c r="I245" s="58" t="inlineStr">
        <is>
          <t>Zaun</t>
        </is>
      </c>
      <c r="J245" s="13" t="inlineStr">
        <is>
          <t>You may kill a friendly gear as an additional cost to play me.
When you play me, if you paid the additional cost, kill a gear.</t>
        </is>
      </c>
      <c r="K245" s="667" t="n"/>
    </row>
    <row r="246" ht="15" customHeight="1">
      <c r="A246" s="58" t="inlineStr">
        <is>
          <t>SFD-161</t>
        </is>
      </c>
      <c r="B246" s="58" t="n">
        <v>3</v>
      </c>
      <c r="C246" s="58" t="inlineStr">
        <is>
          <t>B.F. Sword</t>
        </is>
      </c>
      <c r="D246" s="58" t="inlineStr">
        <is>
          <t>Order</t>
        </is>
      </c>
      <c r="E246" s="58" t="inlineStr">
        <is>
          <t>Gear</t>
        </is>
      </c>
      <c r="F246" s="58" t="inlineStr">
        <is>
          <t>4</t>
        </is>
      </c>
      <c r="G246" s="58" t="inlineStr">
        <is>
          <t>0</t>
        </is>
      </c>
      <c r="H246" s="58" t="inlineStr">
        <is>
          <t>Uncommon</t>
        </is>
      </c>
      <c r="I246" s="58" t="inlineStr">
        <is>
          <t>Equipment</t>
        </is>
      </c>
      <c r="J246" s="13" t="inlineStr">
        <is>
          <t>[EQUIP Order] (Order: Attach this to a unit you control.)
+3 Might</t>
        </is>
      </c>
      <c r="K246" s="428" t="inlineStr">
        <is>
          <t>Azir(3)</t>
        </is>
      </c>
    </row>
    <row r="247" ht="15" customHeight="1">
      <c r="A247" s="58" t="inlineStr">
        <is>
          <t>SFD-162</t>
        </is>
      </c>
      <c r="B247" s="58" t="n">
        <v>3</v>
      </c>
      <c r="C247" s="58" t="inlineStr">
        <is>
          <t>Blood Money</t>
        </is>
      </c>
      <c r="D247" s="58" t="inlineStr">
        <is>
          <t>Order</t>
        </is>
      </c>
      <c r="E247" s="58" t="inlineStr">
        <is>
          <t>Spell</t>
        </is>
      </c>
      <c r="F247" s="58" t="inlineStr">
        <is>
          <t>2</t>
        </is>
      </c>
      <c r="G247" s="58" t="inlineStr"/>
      <c r="H247" s="58" t="inlineStr">
        <is>
          <t>Uncommon</t>
        </is>
      </c>
      <c r="I247" s="58" t="inlineStr"/>
      <c r="J247" s="13" t="inlineStr">
        <is>
          <t>[ACTION] (Play on your turn or in showdowns.)
Kill a unit at a battlefield with 2 Might or less. If it was an enemy unit, play a Gold gear token exhausted. If it was a friendly unit, play two BGold gear tokens exhausted.</t>
        </is>
      </c>
      <c r="K247" s="667" t="n"/>
    </row>
    <row r="248" ht="15" customHeight="1">
      <c r="A248" s="58" t="inlineStr">
        <is>
          <t>SFD-163</t>
        </is>
      </c>
      <c r="B248" s="58" t="n">
        <v>2</v>
      </c>
      <c r="C248" s="58" t="inlineStr">
        <is>
          <t>Deathgrip</t>
        </is>
      </c>
      <c r="D248" s="58" t="inlineStr">
        <is>
          <t>Order</t>
        </is>
      </c>
      <c r="E248" s="58" t="inlineStr">
        <is>
          <t>Spell</t>
        </is>
      </c>
      <c r="F248" s="58" t="inlineStr">
        <is>
          <t>2</t>
        </is>
      </c>
      <c r="G248" s="58" t="inlineStr"/>
      <c r="H248" s="58" t="inlineStr">
        <is>
          <t>Uncommon</t>
        </is>
      </c>
      <c r="I248" s="58" t="inlineStr"/>
      <c r="J248" s="13" t="inlineStr">
        <is>
          <t>[REACTION] (Play any time, even before spells and abilities resolve)
Kill a friendly unit to give +Might equal to its Might to another friendly unit this turn. Draw 1.</t>
        </is>
      </c>
      <c r="K248" s="428" t="inlineStr">
        <is>
          <t>Azir(2)</t>
        </is>
      </c>
    </row>
    <row r="249" ht="15" customHeight="1">
      <c r="A249" s="58" t="inlineStr">
        <is>
          <t>SFD-164</t>
        </is>
      </c>
      <c r="B249" s="58" t="n">
        <v>1</v>
      </c>
      <c r="C249" s="58" t="inlineStr">
        <is>
          <t>Drag Under</t>
        </is>
      </c>
      <c r="D249" s="58" t="inlineStr">
        <is>
          <t>Order</t>
        </is>
      </c>
      <c r="E249" s="58" t="inlineStr">
        <is>
          <t>Spell</t>
        </is>
      </c>
      <c r="F249" s="58" t="inlineStr">
        <is>
          <t>5</t>
        </is>
      </c>
      <c r="G249" s="58" t="inlineStr"/>
      <c r="H249" s="58" t="inlineStr">
        <is>
          <t>Uncommon</t>
        </is>
      </c>
      <c r="I249" s="58" t="inlineStr"/>
      <c r="J249" s="13" t="inlineStr">
        <is>
          <t>[Action] (Play on your turn or in showdowns.)
I cost  less to play from anywhere other than your hand.
Kill a unit at a battlefield.</t>
        </is>
      </c>
      <c r="K249" s="667" t="n"/>
    </row>
    <row r="250" ht="15" customHeight="1">
      <c r="A250" s="58" t="inlineStr">
        <is>
          <t>SFD-166</t>
        </is>
      </c>
      <c r="B250" s="58" t="n">
        <v>1</v>
      </c>
      <c r="C250" s="58" t="inlineStr">
        <is>
          <t>Rally the Troops</t>
        </is>
      </c>
      <c r="D250" s="58" t="inlineStr">
        <is>
          <t>Order</t>
        </is>
      </c>
      <c r="E250" s="58" t="inlineStr">
        <is>
          <t>Spell</t>
        </is>
      </c>
      <c r="F250" s="58" t="inlineStr">
        <is>
          <t>2</t>
        </is>
      </c>
      <c r="G250" s="58" t="inlineStr"/>
      <c r="H250" s="58" t="inlineStr">
        <is>
          <t>Uncommon</t>
        </is>
      </c>
      <c r="I250" s="58" t="inlineStr"/>
      <c r="J250" s="13" t="inlineStr">
        <is>
          <t>[ACTION] (Play on your turn or in showdowns.)
When a friendly unit is played this turn, buff it. (If it doesn't have a buff, it gets a +1 Might buff.)
Draw 1</t>
        </is>
      </c>
      <c r="K250" s="667" t="n"/>
    </row>
    <row r="251" ht="15" customHeight="1">
      <c r="A251" s="58" t="inlineStr">
        <is>
          <t>SFD-167</t>
        </is>
      </c>
      <c r="B251" s="58" t="n">
        <v>3</v>
      </c>
      <c r="C251" s="58" t="inlineStr">
        <is>
          <t>Unsung Hero</t>
        </is>
      </c>
      <c r="D251" s="58" t="inlineStr">
        <is>
          <t>Order</t>
        </is>
      </c>
      <c r="E251" s="58" t="inlineStr">
        <is>
          <t>Unit</t>
        </is>
      </c>
      <c r="F251" s="58" t="inlineStr">
        <is>
          <t>2</t>
        </is>
      </c>
      <c r="G251" s="58" t="inlineStr">
        <is>
          <t>2</t>
        </is>
      </c>
      <c r="H251" s="58" t="inlineStr">
        <is>
          <t>Uncommon</t>
        </is>
      </c>
      <c r="I251" s="58" t="inlineStr">
        <is>
          <t>Demacia;Elite</t>
        </is>
      </c>
      <c r="J251" s="13" t="inlineStr">
        <is>
          <t>[DEATHKNELL] — If I was [MIGHTY], draw 2. (When I die, get the effect. I'm Mighty while I have 5+ Might.)</t>
        </is>
      </c>
      <c r="K251" s="667" t="n"/>
    </row>
    <row r="252" ht="15" customHeight="1">
      <c r="A252" s="58" t="inlineStr">
        <is>
          <t>SFD-168</t>
        </is>
      </c>
      <c r="B252" s="58" t="n">
        <v>1</v>
      </c>
      <c r="C252" s="58" t="inlineStr">
        <is>
          <t>Vanguard Armory</t>
        </is>
      </c>
      <c r="D252" s="58" t="inlineStr">
        <is>
          <t>Order</t>
        </is>
      </c>
      <c r="E252" s="58" t="inlineStr">
        <is>
          <t>Gear</t>
        </is>
      </c>
      <c r="F252" s="58" t="inlineStr">
        <is>
          <t>7</t>
        </is>
      </c>
      <c r="G252" s="58" t="inlineStr"/>
      <c r="H252" s="58" t="inlineStr">
        <is>
          <t>Uncommon</t>
        </is>
      </c>
      <c r="I252" s="58" t="inlineStr"/>
      <c r="J252" s="13" t="inlineStr">
        <is>
          <t>Exhaust: Play three 1 Might Recruit unit tokens. (You may play them to different locations.)</t>
        </is>
      </c>
      <c r="K252" s="667" t="n"/>
    </row>
    <row r="253" ht="15" customHeight="1">
      <c r="A253" s="58" t="inlineStr">
        <is>
          <t>SFD-169</t>
        </is>
      </c>
      <c r="B253" s="58" t="n">
        <v>1</v>
      </c>
      <c r="C253" s="58" t="inlineStr">
        <is>
          <t>Altar of Memories</t>
        </is>
      </c>
      <c r="D253" s="58" t="inlineStr">
        <is>
          <t>Order</t>
        </is>
      </c>
      <c r="E253" s="58" t="inlineStr">
        <is>
          <t>Gear</t>
        </is>
      </c>
      <c r="F253" s="58" t="inlineStr">
        <is>
          <t>2</t>
        </is>
      </c>
      <c r="G253" s="58" t="inlineStr">
        <is>
          <t>0</t>
        </is>
      </c>
      <c r="H253" s="58" t="inlineStr">
        <is>
          <t>Rare</t>
        </is>
      </c>
      <c r="I253" s="58" t="inlineStr"/>
      <c r="J253" s="13" t="inlineStr">
        <is>
          <t>When a friendly unit dies, you may exhaust me to draw 1, then put a card from your hand on the top or bottom of your Main Deck.</t>
        </is>
      </c>
      <c r="K253" s="667" t="n"/>
    </row>
    <row r="254" ht="15" customHeight="1">
      <c r="A254" s="58" t="inlineStr">
        <is>
          <t>SFD-171</t>
        </is>
      </c>
      <c r="B254" s="58" t="n">
        <v>1</v>
      </c>
      <c r="C254" s="58" t="inlineStr">
        <is>
          <t>Renata Glasc - Industrialist</t>
        </is>
      </c>
      <c r="D254" s="58" t="inlineStr">
        <is>
          <t>Order</t>
        </is>
      </c>
      <c r="E254" s="58" t="inlineStr">
        <is>
          <t>Champion Unit</t>
        </is>
      </c>
      <c r="F254" s="58" t="inlineStr">
        <is>
          <t>4</t>
        </is>
      </c>
      <c r="G254" s="58" t="inlineStr">
        <is>
          <t>4</t>
        </is>
      </c>
      <c r="H254" s="58" t="inlineStr">
        <is>
          <t>Rare</t>
        </is>
      </c>
      <c r="I254" s="58" t="inlineStr">
        <is>
          <t>Zaun;Renata Glasc</t>
        </is>
      </c>
      <c r="J254" s="13" t="inlineStr">
        <is>
          <t>Your tokens enter ready.</t>
        </is>
      </c>
      <c r="K254" s="667" t="n"/>
    </row>
    <row r="255" ht="15" customHeight="1">
      <c r="A255" s="58" t="inlineStr">
        <is>
          <t>SFD-172</t>
        </is>
      </c>
      <c r="B255" s="58" t="n">
        <v>1</v>
      </c>
      <c r="C255" s="58" t="inlineStr">
        <is>
          <t>Sacred Shears</t>
        </is>
      </c>
      <c r="D255" s="58" t="inlineStr">
        <is>
          <t>Order</t>
        </is>
      </c>
      <c r="E255" s="58" t="inlineStr">
        <is>
          <t>Gear</t>
        </is>
      </c>
      <c r="F255" s="58" t="inlineStr">
        <is>
          <t>2</t>
        </is>
      </c>
      <c r="G255" s="58" t="inlineStr"/>
      <c r="H255" s="58" t="inlineStr">
        <is>
          <t>Rare</t>
        </is>
      </c>
      <c r="I255" s="58" t="inlineStr">
        <is>
          <t>Equipment</t>
        </is>
      </c>
      <c r="J255" s="13" t="inlineStr">
        <is>
          <t>[EQUIP Order] (Order: Attach this to a unit you control.)
[DEATHKNELL] - Draw 1. (When I die, get the effect.)
+1 Might</t>
        </is>
      </c>
      <c r="K255" s="428" t="inlineStr">
        <is>
          <t>Azir(1)</t>
        </is>
      </c>
    </row>
    <row r="256" ht="15" customHeight="1">
      <c r="A256" s="58" t="inlineStr">
        <is>
          <t>SFD-175</t>
        </is>
      </c>
      <c r="B256" s="58" t="n">
        <v>1</v>
      </c>
      <c r="C256" s="58" t="inlineStr">
        <is>
          <t>Undertitan</t>
        </is>
      </c>
      <c r="D256" s="58" t="inlineStr">
        <is>
          <t>Order</t>
        </is>
      </c>
      <c r="E256" s="58" t="inlineStr">
        <is>
          <t>Unit</t>
        </is>
      </c>
      <c r="F256" s="58" t="inlineStr">
        <is>
          <t>6</t>
        </is>
      </c>
      <c r="G256" s="58" t="inlineStr">
        <is>
          <t>5</t>
        </is>
      </c>
      <c r="H256" s="58" t="inlineStr">
        <is>
          <t>Rare</t>
        </is>
      </c>
      <c r="I256" s="58" t="inlineStr">
        <is>
          <t>The Void</t>
        </is>
      </c>
      <c r="J256" s="13" t="inlineStr">
        <is>
          <t>When you play me, give your other units +2 Might this turn.
As I'm revealed from your deck, [ADD] 2.</t>
        </is>
      </c>
      <c r="K256" s="667" t="n"/>
    </row>
    <row r="257" ht="15" customHeight="1">
      <c r="A257" s="58" t="inlineStr">
        <is>
          <t>SFD-177</t>
        </is>
      </c>
      <c r="B257" s="58" t="n">
        <v>1</v>
      </c>
      <c r="C257" s="58" t="inlineStr">
        <is>
          <t>Azir - Sovereign</t>
        </is>
      </c>
      <c r="D257" s="58" t="inlineStr">
        <is>
          <t>Order</t>
        </is>
      </c>
      <c r="E257" s="58" t="inlineStr">
        <is>
          <t>Champion Unit</t>
        </is>
      </c>
      <c r="F257" s="58" t="inlineStr">
        <is>
          <t>4</t>
        </is>
      </c>
      <c r="G257" s="58" t="inlineStr">
        <is>
          <t>4</t>
        </is>
      </c>
      <c r="H257" s="58" t="inlineStr">
        <is>
          <t>Epic</t>
        </is>
      </c>
      <c r="I257" s="58" t="inlineStr">
        <is>
          <t>Bird;Shurima;Azir</t>
        </is>
      </c>
      <c r="J257" s="13" t="inlineStr">
        <is>
          <t>[ACCELERATE] (You may pay 1 and Order as an additional cost to have me enter ready.) When I attack, you may move any number of your token units to this battlefield.</t>
        </is>
      </c>
      <c r="K257" s="710" t="n"/>
    </row>
    <row r="258" ht="15" customHeight="1">
      <c r="A258" s="58" t="inlineStr">
        <is>
          <t>SFD-180</t>
        </is>
      </c>
      <c r="B258" s="58" t="n">
        <v>1</v>
      </c>
      <c r="C258" s="58" t="inlineStr">
        <is>
          <t>Fiora - Worthy</t>
        </is>
      </c>
      <c r="D258" s="58" t="inlineStr">
        <is>
          <t>Order</t>
        </is>
      </c>
      <c r="E258" s="58" t="inlineStr">
        <is>
          <t>Champion Unit</t>
        </is>
      </c>
      <c r="F258" s="58" t="inlineStr">
        <is>
          <t>3</t>
        </is>
      </c>
      <c r="G258" s="58" t="inlineStr">
        <is>
          <t>3</t>
        </is>
      </c>
      <c r="H258" s="58" t="inlineStr">
        <is>
          <t>Epic</t>
        </is>
      </c>
      <c r="I258" s="58" t="inlineStr">
        <is>
          <t>Demacia;Fiora</t>
        </is>
      </c>
      <c r="J258" s="13" t="inlineStr">
        <is>
          <t>When a unit you control becomes [MIGHTY], you may pay Order to ready it. (A unit is Mighty while it has 5+ Might.)</t>
        </is>
      </c>
      <c r="K258" s="667" t="n"/>
    </row>
    <row r="259" ht="15" customHeight="1">
      <c r="A259" s="57" t="inlineStr">
        <is>
          <t>SFD-181</t>
        </is>
      </c>
      <c r="B259" s="57" t="n">
        <v>1</v>
      </c>
      <c r="C259" s="57" t="inlineStr">
        <is>
          <t>Rumble - Mechanized Menace</t>
        </is>
      </c>
      <c r="D259" s="57" t="inlineStr">
        <is>
          <t>Fury;Mind</t>
        </is>
      </c>
      <c r="E259" s="57" t="inlineStr">
        <is>
          <t>Legend</t>
        </is>
      </c>
      <c r="F259" s="57" t="inlineStr">
        <is>
          <t>0</t>
        </is>
      </c>
      <c r="G259" s="57" t="inlineStr">
        <is>
          <t>0</t>
        </is>
      </c>
      <c r="H259" s="57" t="inlineStr">
        <is>
          <t>Rare</t>
        </is>
      </c>
      <c r="I259" s="57" t="inlineStr">
        <is>
          <t>Rumble</t>
        </is>
      </c>
      <c r="J259" s="3" t="inlineStr">
        <is>
          <t>Your Mechs have [SHIELD]. +1 Might while they're defenders.)</t>
        </is>
      </c>
      <c r="K259" s="667" t="n"/>
    </row>
    <row r="260" ht="15" customHeight="1">
      <c r="A260" s="57" t="inlineStr">
        <is>
          <t>SFD-182</t>
        </is>
      </c>
      <c r="B260" s="57" t="n">
        <v>1</v>
      </c>
      <c r="C260" s="57" t="inlineStr">
        <is>
          <t>Danger Zone</t>
        </is>
      </c>
      <c r="D260" s="57" t="inlineStr">
        <is>
          <t>Fury;Mind</t>
        </is>
      </c>
      <c r="E260" s="57" t="inlineStr">
        <is>
          <t>Signature Spell</t>
        </is>
      </c>
      <c r="F260" s="57" t="inlineStr">
        <is>
          <t>1</t>
        </is>
      </c>
      <c r="G260" s="57" t="inlineStr">
        <is>
          <t>0</t>
        </is>
      </c>
      <c r="H260" s="57" t="inlineStr">
        <is>
          <t>Epic</t>
        </is>
      </c>
      <c r="I260" s="57" t="inlineStr">
        <is>
          <t>Rumble</t>
        </is>
      </c>
      <c r="J260" s="3" t="inlineStr">
        <is>
          <t>[REACTION] (Play any time, even before spells and abilities resolve.) [REPEAT] 1 Rune (You may pay the additional cost to repeat this spell's effect.) Give your Mechs +1 Might this turn</t>
        </is>
      </c>
      <c r="K260" s="667" t="n"/>
    </row>
    <row r="261" ht="15" customHeight="1">
      <c r="A261" s="57" t="inlineStr">
        <is>
          <t>SFD-183</t>
        </is>
      </c>
      <c r="B261" s="57" t="n">
        <v>1</v>
      </c>
      <c r="C261" s="57" t="inlineStr">
        <is>
          <t>Lucian - Purifier</t>
        </is>
      </c>
      <c r="D261" s="57" t="inlineStr">
        <is>
          <t>Fury;Body</t>
        </is>
      </c>
      <c r="E261" s="57" t="inlineStr">
        <is>
          <t>Legend</t>
        </is>
      </c>
      <c r="F261" s="57" t="inlineStr">
        <is>
          <t>0</t>
        </is>
      </c>
      <c r="G261" s="57" t="inlineStr">
        <is>
          <t>0</t>
        </is>
      </c>
      <c r="H261" s="57" t="inlineStr">
        <is>
          <t>Rare</t>
        </is>
      </c>
      <c r="I261" s="57" t="inlineStr">
        <is>
          <t>Lucian</t>
        </is>
      </c>
      <c r="J261" s="3" t="inlineStr">
        <is>
          <t>Your Equipment each give [ASSAULT]. (+1 Might while equipped unit is an attacker.)</t>
        </is>
      </c>
      <c r="K261" s="667" t="n"/>
    </row>
    <row r="262" ht="15" customHeight="1">
      <c r="A262" s="57" t="inlineStr">
        <is>
          <t>SFD-185</t>
        </is>
      </c>
      <c r="B262" s="57" t="n">
        <v>1</v>
      </c>
      <c r="C262" s="57" t="inlineStr">
        <is>
          <t>Draven - Glorious Executioner</t>
        </is>
      </c>
      <c r="D262" s="57" t="inlineStr">
        <is>
          <t>Fury;Chaos</t>
        </is>
      </c>
      <c r="E262" s="57" t="inlineStr">
        <is>
          <t>Legend</t>
        </is>
      </c>
      <c r="F262" s="57" t="inlineStr">
        <is>
          <t>0</t>
        </is>
      </c>
      <c r="G262" s="57" t="inlineStr">
        <is>
          <t>0</t>
        </is>
      </c>
      <c r="H262" s="57" t="inlineStr">
        <is>
          <t>Rare</t>
        </is>
      </c>
      <c r="I262" s="57" t="inlineStr">
        <is>
          <t>Draven</t>
        </is>
      </c>
      <c r="J262" s="3" t="inlineStr">
        <is>
          <t>When you win a combat, draw 1. (You win if only your units remain after combat.)</t>
        </is>
      </c>
      <c r="K262" s="667" t="n"/>
    </row>
    <row r="263" ht="15" customHeight="1">
      <c r="A263" s="57" t="inlineStr">
        <is>
          <t>SFD-187</t>
        </is>
      </c>
      <c r="B263" s="57" t="n">
        <v>1</v>
      </c>
      <c r="C263" s="57" t="inlineStr">
        <is>
          <t>Rek'sai - Void Burrower</t>
        </is>
      </c>
      <c r="D263" s="57" t="inlineStr">
        <is>
          <t>Fury;Order</t>
        </is>
      </c>
      <c r="E263" s="57" t="inlineStr">
        <is>
          <t>Legend</t>
        </is>
      </c>
      <c r="F263" s="57" t="inlineStr">
        <is>
          <t>0</t>
        </is>
      </c>
      <c r="G263" s="57" t="inlineStr">
        <is>
          <t>0</t>
        </is>
      </c>
      <c r="H263" s="57" t="inlineStr">
        <is>
          <t>Rare</t>
        </is>
      </c>
      <c r="I263" s="57" t="inlineStr">
        <is>
          <t>Rek'Sai</t>
        </is>
      </c>
      <c r="J263" s="3" t="inlineStr">
        <is>
          <t>When you conquer, you may exhaust me to reveal the top 2 cards of your Main Deck. You may play one. Then recycle the rest.</t>
        </is>
      </c>
      <c r="K263" s="667" t="n"/>
    </row>
    <row r="264" ht="15" customHeight="1">
      <c r="A264" s="49" t="inlineStr">
        <is>
          <t>SFD-189</t>
        </is>
      </c>
      <c r="B264" s="49" t="n">
        <v>1</v>
      </c>
      <c r="C264" s="49" t="inlineStr">
        <is>
          <t>Ornn - Fire Below the Mountain</t>
        </is>
      </c>
      <c r="D264" s="49" t="inlineStr">
        <is>
          <t>Calm;Mind</t>
        </is>
      </c>
      <c r="E264" s="49" t="inlineStr">
        <is>
          <t>Legend</t>
        </is>
      </c>
      <c r="F264" s="49" t="inlineStr">
        <is>
          <t>2</t>
        </is>
      </c>
      <c r="G264" s="49" t="inlineStr">
        <is>
          <t>0</t>
        </is>
      </c>
      <c r="H264" s="49" t="inlineStr">
        <is>
          <t>Rare</t>
        </is>
      </c>
      <c r="I264" s="49" t="inlineStr">
        <is>
          <t>Ornn</t>
        </is>
      </c>
      <c r="J264" s="5" t="inlineStr">
        <is>
          <t>Exhaust: [REACTION] — [ADD] Rune. Use only to play gear or use gear abilities. (Abilities that add resources can't be reacted to.)</t>
        </is>
      </c>
      <c r="K264" s="667" t="n"/>
    </row>
    <row r="265" ht="15" customHeight="1">
      <c r="A265" s="49" t="inlineStr">
        <is>
          <t>SFD-193</t>
        </is>
      </c>
      <c r="B265" s="49" t="n">
        <v>2</v>
      </c>
      <c r="C265" s="49" t="inlineStr">
        <is>
          <t>Jax - Grandmaster At Arms</t>
        </is>
      </c>
      <c r="D265" s="49" t="inlineStr">
        <is>
          <t>Calm;Body</t>
        </is>
      </c>
      <c r="E265" s="49" t="inlineStr">
        <is>
          <t>Legend</t>
        </is>
      </c>
      <c r="F265" s="49" t="inlineStr">
        <is>
          <t>0</t>
        </is>
      </c>
      <c r="G265" s="49" t="inlineStr">
        <is>
          <t>0</t>
        </is>
      </c>
      <c r="H265" s="49" t="inlineStr">
        <is>
          <t>Rare</t>
        </is>
      </c>
      <c r="I265" s="49" t="inlineStr">
        <is>
          <t>Jax</t>
        </is>
      </c>
      <c r="J265" s="5" t="inlineStr">
        <is>
          <t>1, Exhaust: Attach a detached Equipment you control to a unit you control.
Exhaust: Attach an attached Equipment you control to a unit you control.</t>
        </is>
      </c>
      <c r="K265" s="667" t="n"/>
    </row>
    <row r="266" ht="15" customHeight="1">
      <c r="A266" s="49" t="inlineStr">
        <is>
          <t>SFD-195</t>
        </is>
      </c>
      <c r="B266" s="49" t="n">
        <v>1</v>
      </c>
      <c r="C266" s="49" t="inlineStr">
        <is>
          <t>Irelia - Blade Dancer</t>
        </is>
      </c>
      <c r="D266" s="49" t="inlineStr">
        <is>
          <t>Calm;Chaos</t>
        </is>
      </c>
      <c r="E266" s="49" t="inlineStr">
        <is>
          <t>Legend</t>
        </is>
      </c>
      <c r="F266" s="49" t="inlineStr">
        <is>
          <t>0</t>
        </is>
      </c>
      <c r="G266" s="49" t="inlineStr">
        <is>
          <t>0</t>
        </is>
      </c>
      <c r="H266" s="49" t="inlineStr">
        <is>
          <t>Rare</t>
        </is>
      </c>
      <c r="I266" s="49" t="inlineStr">
        <is>
          <t>Irelia</t>
        </is>
      </c>
      <c r="J266" s="5" t="inlineStr">
        <is>
          <t>When you choose a friendly unit, you may exhaust me and pay 1 Rune to ready it.
When you conquer, you may pay 1 to ready me.</t>
        </is>
      </c>
      <c r="K266" s="667" t="n"/>
    </row>
    <row r="267" ht="15" customHeight="1">
      <c r="A267" s="49" t="inlineStr">
        <is>
          <t>SFD-197</t>
        </is>
      </c>
      <c r="B267" s="49" t="n">
        <v>1</v>
      </c>
      <c r="C267" s="49" t="inlineStr">
        <is>
          <t>Azir - Emperor of the Sands</t>
        </is>
      </c>
      <c r="D267" s="49" t="inlineStr">
        <is>
          <t>Calm;Order</t>
        </is>
      </c>
      <c r="E267" s="49" t="inlineStr">
        <is>
          <t>Legend</t>
        </is>
      </c>
      <c r="F267" s="49" t="inlineStr">
        <is>
          <t>0</t>
        </is>
      </c>
      <c r="G267" s="49" t="inlineStr">
        <is>
          <t>0</t>
        </is>
      </c>
      <c r="H267" s="49" t="inlineStr">
        <is>
          <t>Rare</t>
        </is>
      </c>
      <c r="I267" s="49" t="inlineStr">
        <is>
          <t>Azir</t>
        </is>
      </c>
      <c r="J267" s="5" t="inlineStr">
        <is>
          <t>Your Sand Soldiers have [WEAPONMASTER].
1, Exhaust: Play a 2 Might Sand Soldier unit token to your base. Use only if you've played an Equipment this turn.</t>
        </is>
      </c>
      <c r="K267" s="667" t="n"/>
    </row>
    <row r="268" ht="15" customHeight="1">
      <c r="A268" s="49" t="inlineStr">
        <is>
          <t>SFD-198</t>
        </is>
      </c>
      <c r="B268" s="49" t="n">
        <v>1</v>
      </c>
      <c r="C268" s="49" t="inlineStr">
        <is>
          <t>Arise!</t>
        </is>
      </c>
      <c r="D268" s="49" t="inlineStr">
        <is>
          <t>Calm;Order</t>
        </is>
      </c>
      <c r="E268" s="49" t="inlineStr">
        <is>
          <t>Signature Spell</t>
        </is>
      </c>
      <c r="F268" s="49" t="inlineStr">
        <is>
          <t>6</t>
        </is>
      </c>
      <c r="G268" s="49" t="inlineStr"/>
      <c r="H268" s="49" t="inlineStr">
        <is>
          <t>Epic</t>
        </is>
      </c>
      <c r="I268" s="49" t="inlineStr">
        <is>
          <t>Azir</t>
        </is>
      </c>
      <c r="J268" s="5" t="inlineStr">
        <is>
          <t>Play a 2 Might Sand Soldier unit token for each Equipment you control. Then ready two of them.</t>
        </is>
      </c>
      <c r="K268" s="428" t="inlineStr">
        <is>
          <t>Azir(1)</t>
        </is>
      </c>
    </row>
    <row r="269" ht="15" customHeight="1">
      <c r="A269" s="54" t="inlineStr">
        <is>
          <t>SFD-199</t>
        </is>
      </c>
      <c r="B269" s="54" t="n">
        <v>1</v>
      </c>
      <c r="C269" s="54" t="inlineStr">
        <is>
          <t>Ezreal - Prodigal Explorer</t>
        </is>
      </c>
      <c r="D269" s="54" t="inlineStr">
        <is>
          <t>Mind;Chaos</t>
        </is>
      </c>
      <c r="E269" s="54" t="inlineStr">
        <is>
          <t>Legend</t>
        </is>
      </c>
      <c r="F269" s="54" t="inlineStr">
        <is>
          <t>0</t>
        </is>
      </c>
      <c r="G269" s="54" t="inlineStr">
        <is>
          <t>0</t>
        </is>
      </c>
      <c r="H269" s="54" t="inlineStr">
        <is>
          <t>Rare</t>
        </is>
      </c>
      <c r="I269" s="54" t="inlineStr">
        <is>
          <t>Ezreal</t>
        </is>
      </c>
      <c r="J269" s="7" t="inlineStr">
        <is>
          <t>Exhaust: [REACTION] — Draw 1. Use only if you've chosen enemy units and/or gear twice this turn with spells or unit abilities.</t>
        </is>
      </c>
      <c r="K269" s="667" t="n"/>
    </row>
    <row r="270" ht="15" customHeight="1">
      <c r="A270" s="54" t="inlineStr">
        <is>
          <t>SFD-201</t>
        </is>
      </c>
      <c r="B270" s="54" t="n">
        <v>1</v>
      </c>
      <c r="C270" s="54" t="inlineStr">
        <is>
          <t>Renata Glasc - Chem-Baroness</t>
        </is>
      </c>
      <c r="D270" s="54" t="inlineStr">
        <is>
          <t>Mind;Order</t>
        </is>
      </c>
      <c r="E270" s="54" t="inlineStr">
        <is>
          <t>Legend</t>
        </is>
      </c>
      <c r="F270" s="54" t="inlineStr">
        <is>
          <t>0</t>
        </is>
      </c>
      <c r="G270" s="54" t="inlineStr">
        <is>
          <t>0</t>
        </is>
      </c>
      <c r="H270" s="54" t="inlineStr">
        <is>
          <t>Rare</t>
        </is>
      </c>
      <c r="I270" s="54" t="inlineStr">
        <is>
          <t>Renata Glasc</t>
        </is>
      </c>
      <c r="J270" s="7" t="inlineStr">
        <is>
          <t>When you or an ally hold, you may exhaust me to play a Gold gear token exhausted.
While your score is within 3 points of the Victory Score, your Gold ADD an additional 1.</t>
        </is>
      </c>
      <c r="K270" s="667" t="n"/>
    </row>
    <row r="271" ht="15" customHeight="1">
      <c r="A271" s="59" t="inlineStr">
        <is>
          <t>SFD-203</t>
        </is>
      </c>
      <c r="B271" s="59" t="n">
        <v>1</v>
      </c>
      <c r="C271" s="59" t="inlineStr">
        <is>
          <t>Sivir - Battle Mistress</t>
        </is>
      </c>
      <c r="D271" s="59" t="inlineStr">
        <is>
          <t>Body;Chaos</t>
        </is>
      </c>
      <c r="E271" s="59" t="inlineStr">
        <is>
          <t>Legend</t>
        </is>
      </c>
      <c r="F271" s="59" t="inlineStr">
        <is>
          <t>0</t>
        </is>
      </c>
      <c r="G271" s="59" t="inlineStr">
        <is>
          <t>0</t>
        </is>
      </c>
      <c r="H271" s="59" t="inlineStr">
        <is>
          <t>Rare</t>
        </is>
      </c>
      <c r="I271" s="59" t="inlineStr">
        <is>
          <t>Sivir</t>
        </is>
      </c>
      <c r="J271" s="9" t="inlineStr">
        <is>
          <t>When you recycle a rune, you may exhaust me to play a Gold gear token exhausted.
When one or more enemy units die, ready me.</t>
        </is>
      </c>
      <c r="K271" s="667" t="n"/>
    </row>
    <row r="272" ht="15" customHeight="1">
      <c r="A272" s="59" t="inlineStr">
        <is>
          <t>SFD-205</t>
        </is>
      </c>
      <c r="B272" s="59" t="n">
        <v>1</v>
      </c>
      <c r="C272" s="59" t="inlineStr">
        <is>
          <t>Fiora - Grand Duelist</t>
        </is>
      </c>
      <c r="D272" s="59" t="inlineStr">
        <is>
          <t>Body;Order</t>
        </is>
      </c>
      <c r="E272" s="59" t="inlineStr">
        <is>
          <t>Legend</t>
        </is>
      </c>
      <c r="F272" s="59" t="inlineStr">
        <is>
          <t>0</t>
        </is>
      </c>
      <c r="G272" s="59" t="inlineStr">
        <is>
          <t>0</t>
        </is>
      </c>
      <c r="H272" s="59" t="inlineStr">
        <is>
          <t>Rare</t>
        </is>
      </c>
      <c r="I272" s="59" t="inlineStr">
        <is>
          <t>Fiora</t>
        </is>
      </c>
      <c r="J272" s="9" t="inlineStr">
        <is>
          <t>When one of your units becomes [MIGHTY], you may exhaust me to channel 1 rune exhausted. (A unit is Mighty while it has 5+ Might.)</t>
        </is>
      </c>
      <c r="K272" s="667" t="n"/>
    </row>
    <row r="273" ht="15" customHeight="1">
      <c r="A273" s="59" t="inlineStr">
        <is>
          <t>SFD-206</t>
        </is>
      </c>
      <c r="B273" s="59" t="n">
        <v>1</v>
      </c>
      <c r="C273" s="59" t="inlineStr">
        <is>
          <t>Riposte</t>
        </is>
      </c>
      <c r="D273" s="59" t="inlineStr">
        <is>
          <t>Body;Order</t>
        </is>
      </c>
      <c r="E273" s="59" t="inlineStr">
        <is>
          <t>Signature Spell</t>
        </is>
      </c>
      <c r="F273" s="59" t="inlineStr">
        <is>
          <t>2</t>
        </is>
      </c>
      <c r="G273" s="59" t="inlineStr"/>
      <c r="H273" s="59" t="inlineStr">
        <is>
          <t>Epic</t>
        </is>
      </c>
      <c r="I273" s="59" t="inlineStr">
        <is>
          <t>Fiora</t>
        </is>
      </c>
      <c r="J273" s="9" t="inlineStr">
        <is>
          <t>[REACTION] (Play any time, even before spells and abilities resolve.) Choose a friendly unit and a spell. Counter that spell and give that unit + Might equal to that spell's Energy cost this turn.</t>
        </is>
      </c>
      <c r="K273" s="667" t="n"/>
    </row>
    <row r="274" ht="15" customHeight="1">
      <c r="A274" s="14" t="inlineStr">
        <is>
          <t>SFD-207</t>
        </is>
      </c>
      <c r="B274" s="14" t="n">
        <v>1</v>
      </c>
      <c r="C274" s="14" t="inlineStr">
        <is>
          <t>Emperor's Dais</t>
        </is>
      </c>
      <c r="D274" s="14" t="inlineStr">
        <is>
          <t>Colorless</t>
        </is>
      </c>
      <c r="E274" s="14" t="inlineStr">
        <is>
          <t>Battlefield</t>
        </is>
      </c>
      <c r="F274" s="14" t="inlineStr"/>
      <c r="G274" s="14" t="inlineStr"/>
      <c r="H274" s="14" t="inlineStr">
        <is>
          <t>Uncommon</t>
        </is>
      </c>
      <c r="I274" s="14" t="inlineStr"/>
      <c r="J274" s="15" t="inlineStr">
        <is>
          <t>When you conquer here, you may pay 1 and return a unit you control here to its owner's hand. If you do, play a 2 Might Sand Soldier unit token here.</t>
        </is>
      </c>
      <c r="K274" s="667" t="n"/>
    </row>
    <row r="275" ht="15" customHeight="1">
      <c r="A275" s="14" t="inlineStr">
        <is>
          <t>SFD-208</t>
        </is>
      </c>
      <c r="B275" s="14" t="n">
        <v>1</v>
      </c>
      <c r="C275" s="14" t="inlineStr">
        <is>
          <t>Forge of the Fluft</t>
        </is>
      </c>
      <c r="D275" s="14" t="inlineStr">
        <is>
          <t>Colorless</t>
        </is>
      </c>
      <c r="E275" s="14" t="inlineStr">
        <is>
          <t>Battlefield</t>
        </is>
      </c>
      <c r="F275" s="14" t="inlineStr"/>
      <c r="G275" s="14" t="inlineStr"/>
      <c r="H275" s="14" t="inlineStr">
        <is>
          <t>Uncommon</t>
        </is>
      </c>
      <c r="I275" s="14" t="inlineStr"/>
      <c r="J275" s="15" t="inlineStr">
        <is>
          <t>While you control this battlefield, friendly legends have "Exhaust: Attach an Equipment you control to a unit you control."</t>
        </is>
      </c>
      <c r="K275" s="667" t="n"/>
    </row>
    <row r="276" ht="15" customHeight="1">
      <c r="A276" s="14" t="inlineStr">
        <is>
          <t>SFD-209</t>
        </is>
      </c>
      <c r="B276" s="14" t="n">
        <v>1</v>
      </c>
      <c r="C276" s="14" t="inlineStr">
        <is>
          <t>Forgotten Monument</t>
        </is>
      </c>
      <c r="D276" s="14" t="inlineStr">
        <is>
          <t>Colorless</t>
        </is>
      </c>
      <c r="E276" s="14" t="inlineStr">
        <is>
          <t>Battlefield</t>
        </is>
      </c>
      <c r="F276" s="14" t="inlineStr"/>
      <c r="G276" s="14" t="inlineStr"/>
      <c r="H276" s="14" t="inlineStr">
        <is>
          <t>Uncommon</t>
        </is>
      </c>
      <c r="I276" s="14" t="inlineStr"/>
      <c r="J276" s="15" t="inlineStr">
        <is>
          <t>Players can't score here until their third turn.</t>
        </is>
      </c>
      <c r="K276" s="667" t="n"/>
    </row>
    <row r="277" ht="15" customHeight="1">
      <c r="A277" s="14" t="inlineStr">
        <is>
          <t>SFD-210</t>
        </is>
      </c>
      <c r="B277" s="14" t="n">
        <v>1</v>
      </c>
      <c r="C277" s="14" t="inlineStr">
        <is>
          <t>Hall of Legends</t>
        </is>
      </c>
      <c r="D277" s="14" t="inlineStr">
        <is>
          <t>Colorless</t>
        </is>
      </c>
      <c r="E277" s="14" t="inlineStr">
        <is>
          <t>Battlefield</t>
        </is>
      </c>
      <c r="F277" s="14" t="inlineStr"/>
      <c r="G277" s="14" t="inlineStr"/>
      <c r="H277" s="14" t="inlineStr">
        <is>
          <t>Uncommon</t>
        </is>
      </c>
      <c r="I277" s="14" t="inlineStr"/>
      <c r="J277" s="15" t="inlineStr">
        <is>
          <t>When you conquer here, you may pay 1 to ready your legend.</t>
        </is>
      </c>
      <c r="K277" s="667" t="n"/>
    </row>
    <row r="278" ht="15" customHeight="1">
      <c r="A278" s="14" t="inlineStr">
        <is>
          <t>SFD-211</t>
        </is>
      </c>
      <c r="B278" s="14" t="n">
        <v>1</v>
      </c>
      <c r="C278" s="14" t="inlineStr">
        <is>
          <t>Marai Spire</t>
        </is>
      </c>
      <c r="D278" s="14" t="inlineStr">
        <is>
          <t>Colorless</t>
        </is>
      </c>
      <c r="E278" s="14" t="inlineStr">
        <is>
          <t>Battlefield</t>
        </is>
      </c>
      <c r="F278" s="14" t="inlineStr"/>
      <c r="G278" s="14" t="inlineStr"/>
      <c r="H278" s="14" t="inlineStr">
        <is>
          <t>Uncommon</t>
        </is>
      </c>
      <c r="I278" s="14" t="inlineStr"/>
      <c r="J278" s="15" t="inlineStr">
        <is>
          <t>While you control this battlefield, friendly [REPEAT] costs cost 1 less.</t>
        </is>
      </c>
      <c r="K278" s="667" t="n"/>
    </row>
    <row r="279" ht="15" customHeight="1">
      <c r="A279" s="14" t="inlineStr">
        <is>
          <t>SFD-212</t>
        </is>
      </c>
      <c r="B279" s="14" t="n">
        <v>1</v>
      </c>
      <c r="C279" s="14" t="inlineStr">
        <is>
          <t>Minefield</t>
        </is>
      </c>
      <c r="D279" s="14" t="inlineStr">
        <is>
          <t>Colorless</t>
        </is>
      </c>
      <c r="E279" s="14" t="inlineStr">
        <is>
          <t>Battlefield</t>
        </is>
      </c>
      <c r="F279" s="14" t="inlineStr"/>
      <c r="G279" s="14" t="inlineStr"/>
      <c r="H279" s="14" t="inlineStr">
        <is>
          <t>Uncommon</t>
        </is>
      </c>
      <c r="I279" s="14" t="inlineStr"/>
      <c r="J279" s="15" t="inlineStr">
        <is>
          <t>When you conquer here, put the top 2 cards of your Main Deck into your trash.</t>
        </is>
      </c>
      <c r="K279" s="667" t="n"/>
    </row>
    <row r="280" ht="15" customHeight="1">
      <c r="A280" s="14" t="inlineStr">
        <is>
          <t>SFD-213</t>
        </is>
      </c>
      <c r="B280" s="14" t="n">
        <v>1</v>
      </c>
      <c r="C280" s="14" t="inlineStr">
        <is>
          <t>Ornn's Forge</t>
        </is>
      </c>
      <c r="D280" s="14" t="inlineStr">
        <is>
          <t>Colorless</t>
        </is>
      </c>
      <c r="E280" s="14" t="inlineStr">
        <is>
          <t>Battlefield</t>
        </is>
      </c>
      <c r="F280" s="14" t="inlineStr"/>
      <c r="G280" s="14" t="inlineStr"/>
      <c r="H280" s="14" t="inlineStr">
        <is>
          <t>Uncommon</t>
        </is>
      </c>
      <c r="I280" s="14" t="inlineStr"/>
      <c r="J280" s="15" t="inlineStr">
        <is>
          <t>While you control this battlefield, the first friendly non-token gear played each turn costs 1 less.</t>
        </is>
      </c>
      <c r="K280" s="667" t="n"/>
    </row>
    <row r="281" ht="15" customHeight="1">
      <c r="A281" s="14" t="inlineStr">
        <is>
          <t>SFD-215</t>
        </is>
      </c>
      <c r="B281" s="14" t="n">
        <v>1</v>
      </c>
      <c r="C281" s="14" t="inlineStr">
        <is>
          <t>Ravenbloom Conservatory</t>
        </is>
      </c>
      <c r="D281" s="14" t="inlineStr">
        <is>
          <t>Colorless</t>
        </is>
      </c>
      <c r="E281" s="14" t="inlineStr">
        <is>
          <t>Battlefield</t>
        </is>
      </c>
      <c r="F281" s="14" t="inlineStr"/>
      <c r="G281" s="14" t="inlineStr"/>
      <c r="H281" s="14" t="inlineStr">
        <is>
          <t>Uncommon</t>
        </is>
      </c>
      <c r="I281" s="14" t="inlineStr"/>
      <c r="J281" s="15" t="inlineStr">
        <is>
          <t>When you defend here, reveal the top card of your Main Deck. If it's a spell, put it in your hand. Otherwise, recycle it.</t>
        </is>
      </c>
      <c r="K281" s="667" t="n"/>
    </row>
    <row r="282" ht="15" customHeight="1">
      <c r="A282" s="14" t="inlineStr">
        <is>
          <t>SFD-216</t>
        </is>
      </c>
      <c r="B282" s="14" t="n">
        <v>1</v>
      </c>
      <c r="C282" s="14" t="inlineStr">
        <is>
          <t>Rockfall Path</t>
        </is>
      </c>
      <c r="D282" s="14" t="inlineStr">
        <is>
          <t>Colorless</t>
        </is>
      </c>
      <c r="E282" s="14" t="inlineStr">
        <is>
          <t>Battlefield</t>
        </is>
      </c>
      <c r="F282" s="14" t="inlineStr"/>
      <c r="G282" s="14" t="inlineStr"/>
      <c r="H282" s="14" t="inlineStr">
        <is>
          <t>Uncommon</t>
        </is>
      </c>
      <c r="I282" s="14" t="inlineStr"/>
      <c r="J282" s="15" t="inlineStr">
        <is>
          <t>Units can't be played here.</t>
        </is>
      </c>
      <c r="K282" s="667" t="n"/>
    </row>
    <row r="283" ht="15" customHeight="1">
      <c r="A283" s="14" t="inlineStr">
        <is>
          <t>SFD-218</t>
        </is>
      </c>
      <c r="B283" s="14" t="n">
        <v>1</v>
      </c>
      <c r="C283" s="14" t="inlineStr">
        <is>
          <t>Sunken Temple</t>
        </is>
      </c>
      <c r="D283" s="14" t="inlineStr">
        <is>
          <t>Colorless</t>
        </is>
      </c>
      <c r="E283" s="14" t="inlineStr">
        <is>
          <t>Battlefield</t>
        </is>
      </c>
      <c r="F283" s="14" t="inlineStr"/>
      <c r="G283" s="14" t="inlineStr"/>
      <c r="H283" s="14" t="inlineStr">
        <is>
          <t>Uncommon</t>
        </is>
      </c>
      <c r="I283" s="14" t="inlineStr"/>
      <c r="J283" s="15" t="inlineStr">
        <is>
          <t>When you conquer here with one or more [MIGHTY] units, you may pay 1 to draw 1. (A unit is Mighty while it has 5+ .)</t>
        </is>
      </c>
      <c r="K283" s="667" t="n"/>
    </row>
    <row r="284" ht="15" customHeight="1">
      <c r="A284" s="14" t="inlineStr">
        <is>
          <t>SFD-219</t>
        </is>
      </c>
      <c r="B284" s="14" t="n">
        <v>1</v>
      </c>
      <c r="C284" s="14" t="inlineStr">
        <is>
          <t>The Papertree</t>
        </is>
      </c>
      <c r="D284" s="14" t="inlineStr">
        <is>
          <t>Colorless</t>
        </is>
      </c>
      <c r="E284" s="14" t="inlineStr">
        <is>
          <t>Battlefield</t>
        </is>
      </c>
      <c r="F284" s="14" t="inlineStr"/>
      <c r="G284" s="14" t="inlineStr"/>
      <c r="H284" s="14" t="inlineStr">
        <is>
          <t>Uncommon</t>
        </is>
      </c>
      <c r="I284" s="14" t="inlineStr"/>
      <c r="J284" s="15" t="inlineStr">
        <is>
          <t>When you hold here, each player channels 1 rune exhausted.</t>
        </is>
      </c>
      <c r="K284" s="667" t="n"/>
    </row>
    <row r="285" ht="15" customHeight="1">
      <c r="A285" s="14" t="inlineStr">
        <is>
          <t>SFD-220</t>
        </is>
      </c>
      <c r="B285" s="14" t="n">
        <v>1</v>
      </c>
      <c r="C285" s="14" t="inlineStr">
        <is>
          <t>Treasure Hoard</t>
        </is>
      </c>
      <c r="D285" s="14" t="inlineStr">
        <is>
          <t>Colorless</t>
        </is>
      </c>
      <c r="E285" s="14" t="inlineStr">
        <is>
          <t>Battlefield</t>
        </is>
      </c>
      <c r="F285" s="14" t="inlineStr"/>
      <c r="G285" s="14" t="inlineStr"/>
      <c r="H285" s="14" t="inlineStr">
        <is>
          <t>Uncommon</t>
        </is>
      </c>
      <c r="I285" s="14" t="inlineStr"/>
      <c r="J285" s="15" t="inlineStr">
        <is>
          <t>When you conquer here, you may pay 1 to play a Gold gear token exhausted.</t>
        </is>
      </c>
      <c r="K285" s="667" t="n"/>
    </row>
    <row r="286" ht="15" customHeight="1">
      <c r="A286" s="14" t="inlineStr">
        <is>
          <t>SFD-221</t>
        </is>
      </c>
      <c r="B286" s="14" t="n">
        <v>1</v>
      </c>
      <c r="C286" s="14" t="inlineStr">
        <is>
          <t>Veiled Temple</t>
        </is>
      </c>
      <c r="D286" s="14" t="inlineStr">
        <is>
          <t>Colorless</t>
        </is>
      </c>
      <c r="E286" s="14" t="inlineStr">
        <is>
          <t>Battlefield</t>
        </is>
      </c>
      <c r="F286" s="14" t="inlineStr"/>
      <c r="G286" s="14" t="inlineStr"/>
      <c r="H286" s="14" t="inlineStr">
        <is>
          <t>Uncommon</t>
        </is>
      </c>
      <c r="I286" s="14" t="inlineStr"/>
      <c r="J286" s="15" t="inlineStr">
        <is>
          <t>When you conquer here, you may ready a friendly gear. If it's an Equipment, you may detach it.</t>
        </is>
      </c>
      <c r="K286" s="667" t="n"/>
    </row>
    <row r="287" ht="15" customHeight="1">
      <c r="A287" s="679" t="inlineStr">
        <is>
          <t>SFD-042</t>
        </is>
      </c>
      <c r="B287" s="699" t="n">
        <v>3</v>
      </c>
      <c r="C287" s="680" t="inlineStr">
        <is>
          <t>Brutalizer</t>
        </is>
      </c>
      <c r="D287" s="680" t="inlineStr">
        <is>
          <t>Calm</t>
        </is>
      </c>
      <c r="E287" s="680" t="inlineStr">
        <is>
          <t>Gear</t>
        </is>
      </c>
      <c r="F287" s="699" t="inlineStr">
        <is>
          <t>2</t>
        </is>
      </c>
      <c r="G287" s="699" t="inlineStr"/>
      <c r="H287" s="680" t="inlineStr">
        <is>
          <t>Uncommon</t>
        </is>
      </c>
      <c r="I287" s="680" t="inlineStr">
        <is>
          <t>Equipment</t>
        </is>
      </c>
      <c r="J287" s="112" t="inlineStr">
        <is>
          <t>[EQUIP Calm]  (Calm: Attach this to a unit you control.)  If this was attached to me this turn, I have an additional +2 Might.   +1 Might.</t>
        </is>
      </c>
      <c r="K287" s="428" t="inlineStr">
        <is>
          <t>Azir(3)</t>
        </is>
      </c>
    </row>
    <row r="288" ht="15" customHeight="1">
      <c r="A288" s="707" t="inlineStr">
        <is>
          <t>OGN-277</t>
        </is>
      </c>
      <c r="B288" s="360" t="n">
        <v>1</v>
      </c>
      <c r="C288" s="774" t="inlineStr">
        <is>
          <t>Back-Alley Bar</t>
        </is>
      </c>
      <c r="D288" s="774" t="inlineStr">
        <is>
          <t>Colorless</t>
        </is>
      </c>
      <c r="E288" s="774" t="inlineStr">
        <is>
          <t>Battlefield</t>
        </is>
      </c>
      <c r="F288" s="360" t="inlineStr">
        <is>
          <t>0</t>
        </is>
      </c>
      <c r="G288" s="360" t="inlineStr">
        <is>
          <t>0</t>
        </is>
      </c>
      <c r="H288" s="774" t="inlineStr">
        <is>
          <t>Uncommon</t>
        </is>
      </c>
      <c r="I288" s="774" t="inlineStr"/>
      <c r="J288" s="97" t="inlineStr">
        <is>
          <t>When a unit moves from here, give it +1 Might this turn.</t>
        </is>
      </c>
      <c r="K288" s="667" t="n"/>
    </row>
    <row r="289" ht="15" customHeight="1">
      <c r="A289" s="707" t="inlineStr">
        <is>
          <t>SFD-214</t>
        </is>
      </c>
      <c r="B289" s="360" t="n">
        <v>1</v>
      </c>
      <c r="C289" s="774" t="inlineStr">
        <is>
          <t>Power Nexus</t>
        </is>
      </c>
      <c r="D289" s="774" t="inlineStr">
        <is>
          <t>Colorless</t>
        </is>
      </c>
      <c r="E289" s="774" t="inlineStr">
        <is>
          <t>Battlefield</t>
        </is>
      </c>
      <c r="F289" s="360" t="inlineStr">
        <is>
          <t>0</t>
        </is>
      </c>
      <c r="G289" s="360" t="inlineStr">
        <is>
          <t>0</t>
        </is>
      </c>
      <c r="H289" s="774" t="inlineStr">
        <is>
          <t>Uncommon</t>
        </is>
      </c>
      <c r="I289" s="774" t="inlineStr"/>
      <c r="J289" s="97" t="inlineStr">
        <is>
          <t>When you hold here, you may pay Rune Rune Rune Rune to score 1 point.</t>
        </is>
      </c>
      <c r="K289" s="667" t="n"/>
    </row>
    <row r="290" ht="16" customHeight="1">
      <c r="A290" s="737" t="inlineStr">
        <is>
          <t>OGN-193</t>
        </is>
      </c>
      <c r="B290" s="737" t="n">
        <v>3</v>
      </c>
      <c r="C290" s="737" t="inlineStr">
        <is>
          <t>Miss Fortune - Buccaneer</t>
        </is>
      </c>
      <c r="D290" s="737" t="inlineStr">
        <is>
          <t>Chaos</t>
        </is>
      </c>
      <c r="E290" s="737" t="inlineStr">
        <is>
          <t>Champion Unit</t>
        </is>
      </c>
      <c r="F290" s="737" t="inlineStr">
        <is>
          <t>4</t>
        </is>
      </c>
      <c r="G290" s="737" t="inlineStr">
        <is>
          <t>4</t>
        </is>
      </c>
      <c r="H290" s="737" t="inlineStr">
        <is>
          <t>Rare</t>
        </is>
      </c>
      <c r="I290" s="737" t="inlineStr"/>
      <c r="J290" s="737" t="inlineStr"/>
      <c r="K290" s="428" t="inlineStr">
        <is>
          <t>MF(3)</t>
        </is>
      </c>
    </row>
    <row r="291" ht="16" customHeight="1">
      <c r="A291" s="737" t="inlineStr">
        <is>
          <t>SFD-133</t>
        </is>
      </c>
      <c r="B291" s="737" t="n">
        <v>3</v>
      </c>
      <c r="C291" s="737" t="inlineStr">
        <is>
          <t>Boots of Swiftness</t>
        </is>
      </c>
      <c r="D291" s="737" t="inlineStr">
        <is>
          <t>Chaos</t>
        </is>
      </c>
      <c r="E291" s="737" t="inlineStr">
        <is>
          <t>Gear</t>
        </is>
      </c>
      <c r="F291" s="737" t="inlineStr">
        <is>
          <t>3</t>
        </is>
      </c>
      <c r="G291" s="737" t="inlineStr">
        <is>
          <t>2</t>
        </is>
      </c>
      <c r="H291" s="737" t="inlineStr">
        <is>
          <t>Uncommon</t>
        </is>
      </c>
      <c r="I291" s="737" t="inlineStr"/>
      <c r="J291" s="737" t="inlineStr"/>
      <c r="K291" s="428" t="inlineStr">
        <is>
          <t>MF(3)</t>
        </is>
      </c>
    </row>
    <row r="292" ht="16" customHeight="1">
      <c r="A292" s="737" t="inlineStr">
        <is>
          <t>OGN-173</t>
        </is>
      </c>
      <c r="B292" s="737" t="n">
        <v>3</v>
      </c>
      <c r="C292" s="737" t="inlineStr">
        <is>
          <t>Ride The Wind</t>
        </is>
      </c>
      <c r="D292" s="737" t="inlineStr">
        <is>
          <t>Chaos</t>
        </is>
      </c>
      <c r="E292" s="737" t="inlineStr">
        <is>
          <t>Spell</t>
        </is>
      </c>
      <c r="F292" s="737" t="inlineStr">
        <is>
          <t>2</t>
        </is>
      </c>
      <c r="G292" s="737" t="inlineStr">
        <is>
          <t>0</t>
        </is>
      </c>
      <c r="H292" s="737" t="inlineStr">
        <is>
          <t>Common</t>
        </is>
      </c>
      <c r="I292" s="737" t="inlineStr"/>
      <c r="J292" s="737" t="inlineStr"/>
      <c r="K292" s="428" t="inlineStr">
        <is>
          <t>MF(3)</t>
        </is>
      </c>
    </row>
    <row r="293" ht="16" customHeight="1">
      <c r="A293" s="774" t="inlineStr">
        <is>
          <t>OGN-297</t>
        </is>
      </c>
      <c r="B293" s="774" t="n">
        <v>1</v>
      </c>
      <c r="C293" s="774" t="inlineStr">
        <is>
          <t>Windswept Hillock</t>
        </is>
      </c>
      <c r="D293" s="774" t="inlineStr">
        <is>
          <t>Colorless</t>
        </is>
      </c>
      <c r="E293" s="774" t="inlineStr">
        <is>
          <t>Battlefield</t>
        </is>
      </c>
      <c r="F293" s="774" t="inlineStr">
        <is>
          <t>0</t>
        </is>
      </c>
      <c r="G293" s="774" t="inlineStr">
        <is>
          <t>0</t>
        </is>
      </c>
      <c r="H293" s="774" t="inlineStr">
        <is>
          <t>Uncommon</t>
        </is>
      </c>
      <c r="I293" s="774" t="inlineStr"/>
      <c r="J293" s="774" t="inlineStr"/>
      <c r="K293" s="710"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9"/>
  <sheetViews>
    <sheetView workbookViewId="0">
      <pane ySplit="1" topLeftCell="A2" activePane="bottomLeft" state="frozen"/>
      <selection pane="bottomLeft" activeCell="A1" sqref="A1"/>
    </sheetView>
  </sheetViews>
  <sheetFormatPr baseColWidth="8" defaultRowHeight="15"/>
  <cols>
    <col width="10" customWidth="1" min="1" max="1"/>
    <col width="5" customWidth="1" min="2" max="2"/>
    <col width="30" customWidth="1" min="3" max="3"/>
    <col width="14" customWidth="1" min="4" max="4"/>
    <col width="16" customWidth="1" min="5" max="5"/>
    <col width="5" customWidth="1" min="6" max="6"/>
    <col width="6" customWidth="1" min="7" max="7"/>
    <col width="11" customWidth="1" min="8" max="8"/>
    <col width="18" customWidth="1" min="9" max="9"/>
    <col width="65" customWidth="1" min="10" max="10"/>
  </cols>
  <sheetData>
    <row r="1" ht="18" customHeight="1">
      <c r="A1" s="1" t="inlineStr">
        <is>
          <t>Card ID</t>
        </is>
      </c>
      <c r="B1" s="1" t="inlineStr">
        <is>
          <t>Qty</t>
        </is>
      </c>
      <c r="C1" s="1" t="inlineStr">
        <is>
          <t>Name</t>
        </is>
      </c>
      <c r="D1" s="1" t="inlineStr">
        <is>
          <t>Domain</t>
        </is>
      </c>
      <c r="E1" s="1" t="inlineStr">
        <is>
          <t>Type</t>
        </is>
      </c>
      <c r="F1" s="1" t="inlineStr">
        <is>
          <t>Cost</t>
        </is>
      </c>
      <c r="G1" s="1" t="inlineStr">
        <is>
          <t>Might</t>
        </is>
      </c>
      <c r="H1" s="1" t="inlineStr">
        <is>
          <t>Rarity</t>
        </is>
      </c>
      <c r="I1" s="1" t="inlineStr">
        <is>
          <t>Tags</t>
        </is>
      </c>
      <c r="J1" s="1" t="inlineStr">
        <is>
          <t>Ability</t>
        </is>
      </c>
    </row>
    <row r="2" ht="15" customHeight="1">
      <c r="A2" s="16" t="inlineStr">
        <is>
          <t>OGN-004</t>
        </is>
      </c>
      <c r="B2" s="16" t="inlineStr"/>
      <c r="C2" s="16" t="inlineStr">
        <is>
          <t>Cleave</t>
        </is>
      </c>
      <c r="D2" s="16" t="inlineStr">
        <is>
          <t>Fury</t>
        </is>
      </c>
      <c r="E2" s="16" t="inlineStr">
        <is>
          <t>Spell</t>
        </is>
      </c>
      <c r="F2" s="16" t="inlineStr">
        <is>
          <t>1</t>
        </is>
      </c>
      <c r="G2" s="16" t="inlineStr">
        <is>
          <t>0</t>
        </is>
      </c>
      <c r="H2" s="16" t="inlineStr">
        <is>
          <t>Common</t>
        </is>
      </c>
      <c r="I2" s="16" t="inlineStr"/>
      <c r="J2" s="17" t="inlineStr">
        <is>
          <t>ACTION (Play on your turn or in showdowns.)Give a unit ASSAULT 3 this turn. (+3 Might while it's an attacker.)</t>
        </is>
      </c>
    </row>
    <row r="3" ht="15" customHeight="1">
      <c r="A3" s="16" t="inlineStr">
        <is>
          <t>OGN-005</t>
        </is>
      </c>
      <c r="B3" s="16" t="inlineStr"/>
      <c r="C3" s="16" t="inlineStr">
        <is>
          <t>Disintegrate</t>
        </is>
      </c>
      <c r="D3" s="16" t="inlineStr">
        <is>
          <t>Fury</t>
        </is>
      </c>
      <c r="E3" s="16" t="inlineStr">
        <is>
          <t>Spell</t>
        </is>
      </c>
      <c r="F3" s="16" t="inlineStr">
        <is>
          <t>4</t>
        </is>
      </c>
      <c r="G3" s="16" t="inlineStr">
        <is>
          <t>0</t>
        </is>
      </c>
      <c r="H3" s="16" t="inlineStr">
        <is>
          <t>Common</t>
        </is>
      </c>
      <c r="I3" s="16" t="inlineStr"/>
      <c r="J3" s="17" t="inlineStr">
        <is>
          <t>ACTION (Play on your turn or in showdowns.)
Deal 3 to a unit at a battlefield. If this kills it, draw 1.</t>
        </is>
      </c>
    </row>
    <row r="4" ht="15" customHeight="1">
      <c r="A4" s="16" t="inlineStr">
        <is>
          <t>OGN-007</t>
        </is>
      </c>
      <c r="B4" s="16" t="inlineStr"/>
      <c r="C4" s="16" t="inlineStr">
        <is>
          <t>Fury Rune</t>
        </is>
      </c>
      <c r="D4" s="16" t="inlineStr">
        <is>
          <t>Fury</t>
        </is>
      </c>
      <c r="E4" s="16" t="inlineStr">
        <is>
          <t>Rune</t>
        </is>
      </c>
      <c r="F4" s="16" t="inlineStr">
        <is>
          <t>0</t>
        </is>
      </c>
      <c r="G4" s="16" t="inlineStr">
        <is>
          <t>0</t>
        </is>
      </c>
      <c r="H4" s="16" t="inlineStr">
        <is>
          <t>Common</t>
        </is>
      </c>
      <c r="I4" s="16" t="inlineStr"/>
      <c r="J4" s="17" t="inlineStr"/>
    </row>
    <row r="5" ht="15" customHeight="1">
      <c r="A5" s="16" t="inlineStr">
        <is>
          <t>OGN-009</t>
        </is>
      </c>
      <c r="B5" s="16" t="inlineStr"/>
      <c r="C5" s="16" t="inlineStr">
        <is>
          <t>Hextech Ray</t>
        </is>
      </c>
      <c r="D5" s="16" t="inlineStr">
        <is>
          <t>Fury</t>
        </is>
      </c>
      <c r="E5" s="16" t="inlineStr">
        <is>
          <t>Spell</t>
        </is>
      </c>
      <c r="F5" s="16" t="inlineStr">
        <is>
          <t>1</t>
        </is>
      </c>
      <c r="G5" s="16" t="inlineStr">
        <is>
          <t>0</t>
        </is>
      </c>
      <c r="H5" s="16" t="inlineStr">
        <is>
          <t>Common</t>
        </is>
      </c>
      <c r="I5" s="16" t="inlineStr"/>
      <c r="J5" s="17" t="inlineStr">
        <is>
          <t>ACTION (Play on your turn or in showdowns.)
Deal 3 to a unit at a battlefield.</t>
        </is>
      </c>
    </row>
    <row r="6" ht="15" customHeight="1">
      <c r="A6" s="16" t="inlineStr">
        <is>
          <t>OGN-013</t>
        </is>
      </c>
      <c r="B6" s="16" t="inlineStr"/>
      <c r="C6" s="16" t="inlineStr">
        <is>
          <t>Pouty Poro</t>
        </is>
      </c>
      <c r="D6" s="16" t="inlineStr">
        <is>
          <t>Fury</t>
        </is>
      </c>
      <c r="E6" s="16" t="inlineStr">
        <is>
          <t>Unit</t>
        </is>
      </c>
      <c r="F6" s="16" t="inlineStr">
        <is>
          <t>2</t>
        </is>
      </c>
      <c r="G6" s="16" t="inlineStr">
        <is>
          <t>2</t>
        </is>
      </c>
      <c r="H6" s="16" t="inlineStr">
        <is>
          <t>Common</t>
        </is>
      </c>
      <c r="I6" s="16" t="inlineStr">
        <is>
          <t>Poro</t>
        </is>
      </c>
      <c r="J6" s="17" t="inlineStr">
        <is>
          <t>DEFLECT (Opponents must pay Power to choose me with a spell or ability.)</t>
        </is>
      </c>
    </row>
    <row r="7" ht="15" customHeight="1">
      <c r="A7" s="16" t="inlineStr">
        <is>
          <t>OGN-017</t>
        </is>
      </c>
      <c r="B7" s="16" t="inlineStr"/>
      <c r="C7" s="16" t="inlineStr">
        <is>
          <t>Iron Ballista</t>
        </is>
      </c>
      <c r="D7" s="16" t="inlineStr">
        <is>
          <t>Fury</t>
        </is>
      </c>
      <c r="E7" s="16" t="inlineStr">
        <is>
          <t>Gear</t>
        </is>
      </c>
      <c r="F7" s="16" t="inlineStr">
        <is>
          <t>3</t>
        </is>
      </c>
      <c r="G7" s="16" t="inlineStr">
        <is>
          <t>0</t>
        </is>
      </c>
      <c r="H7" s="16" t="inlineStr">
        <is>
          <t>Uncommon</t>
        </is>
      </c>
      <c r="I7" s="16" t="inlineStr"/>
      <c r="J7" s="17" t="inlineStr">
        <is>
          <t>This enters exhausted.
Exhaust: Deal 2 to a unit at a battlefield.</t>
        </is>
      </c>
    </row>
    <row r="8" ht="15" customHeight="1">
      <c r="A8" s="16" t="inlineStr">
        <is>
          <t>OGN-018</t>
        </is>
      </c>
      <c r="B8" s="16" t="inlineStr"/>
      <c r="C8" s="16" t="inlineStr">
        <is>
          <t>Noxus Saboteur</t>
        </is>
      </c>
      <c r="D8" s="16" t="inlineStr">
        <is>
          <t>Fury</t>
        </is>
      </c>
      <c r="E8" s="16" t="inlineStr">
        <is>
          <t>Unit</t>
        </is>
      </c>
      <c r="F8" s="16" t="inlineStr">
        <is>
          <t>3</t>
        </is>
      </c>
      <c r="G8" s="16" t="inlineStr">
        <is>
          <t>3</t>
        </is>
      </c>
      <c r="H8" s="16" t="inlineStr">
        <is>
          <t>Uncommon</t>
        </is>
      </c>
      <c r="I8" s="16" t="inlineStr">
        <is>
          <t>Noxus;Trifarian</t>
        </is>
      </c>
      <c r="J8" s="17" t="inlineStr">
        <is>
          <t>Your opponents' HIDDEN cards can't be revealed here.</t>
        </is>
      </c>
    </row>
    <row r="9" ht="15" customHeight="1">
      <c r="A9" s="16" t="inlineStr">
        <is>
          <t>OGN-020</t>
        </is>
      </c>
      <c r="B9" s="16" t="inlineStr"/>
      <c r="C9" s="16" t="inlineStr">
        <is>
          <t>Scrapyard Champion</t>
        </is>
      </c>
      <c r="D9" s="16" t="inlineStr">
        <is>
          <t>Fury</t>
        </is>
      </c>
      <c r="E9" s="16" t="inlineStr">
        <is>
          <t>Unit</t>
        </is>
      </c>
      <c r="F9" s="16" t="inlineStr">
        <is>
          <t>5</t>
        </is>
      </c>
      <c r="G9" s="16" t="inlineStr">
        <is>
          <t>5</t>
        </is>
      </c>
      <c r="H9" s="16" t="inlineStr">
        <is>
          <t>Uncommon</t>
        </is>
      </c>
      <c r="I9" s="16" t="inlineStr">
        <is>
          <t>Bandle City;Mech</t>
        </is>
      </c>
      <c r="J9" s="17" t="inlineStr">
        <is>
          <t>LEGION - When you play me, discard 2, then draw 2. (Get the effect if you've played another card this turn.)</t>
        </is>
      </c>
    </row>
    <row r="10" ht="15" customHeight="1">
      <c r="A10" s="16" t="inlineStr">
        <is>
          <t>OGN-021</t>
        </is>
      </c>
      <c r="B10" s="16" t="inlineStr"/>
      <c r="C10" s="16" t="inlineStr">
        <is>
          <t>Sun Disc</t>
        </is>
      </c>
      <c r="D10" s="16" t="inlineStr">
        <is>
          <t>Fury</t>
        </is>
      </c>
      <c r="E10" s="16" t="inlineStr">
        <is>
          <t>Gear</t>
        </is>
      </c>
      <c r="F10" s="16" t="inlineStr">
        <is>
          <t>2</t>
        </is>
      </c>
      <c r="G10" s="16" t="inlineStr">
        <is>
          <t>0</t>
        </is>
      </c>
      <c r="H10" s="16" t="inlineStr">
        <is>
          <t>Uncommon</t>
        </is>
      </c>
      <c r="I10" s="16" t="inlineStr"/>
      <c r="J10" s="17" t="inlineStr">
        <is>
          <t>Exhaust: LEGION - The next unit you play this turn enters ready. (Get the effect if you've played another card this turn.)</t>
        </is>
      </c>
    </row>
    <row r="11" ht="15" customHeight="1">
      <c r="A11" s="16" t="inlineStr">
        <is>
          <t>OGN-023</t>
        </is>
      </c>
      <c r="B11" s="16" t="inlineStr"/>
      <c r="C11" s="16" t="inlineStr">
        <is>
          <t>Unlicensed Armory</t>
        </is>
      </c>
      <c r="D11" s="16" t="inlineStr">
        <is>
          <t>Fury</t>
        </is>
      </c>
      <c r="E11" s="16" t="inlineStr">
        <is>
          <t>Gear</t>
        </is>
      </c>
      <c r="F11" s="16" t="inlineStr">
        <is>
          <t>2</t>
        </is>
      </c>
      <c r="G11" s="16" t="inlineStr">
        <is>
          <t>0</t>
        </is>
      </c>
      <c r="H11" s="16" t="inlineStr">
        <is>
          <t>Uncommon</t>
        </is>
      </c>
      <c r="I11" s="16" t="inlineStr"/>
      <c r="J11" s="17" t="inlineStr">
        <is>
          <t>Discard 1, Exhaust: Choose a friendly unit. The next time it dies this turn, you may pay 1 Fury to recall it exhausted instead. (Send it to base. This isn't a move.)</t>
        </is>
      </c>
    </row>
    <row r="12" ht="15" customHeight="1">
      <c r="A12" s="16" t="inlineStr">
        <is>
          <t>OGN-025</t>
        </is>
      </c>
      <c r="B12" s="16" t="inlineStr"/>
      <c r="C12" s="16" t="inlineStr">
        <is>
          <t>Blind Fury</t>
        </is>
      </c>
      <c r="D12" s="16" t="inlineStr">
        <is>
          <t>Fury</t>
        </is>
      </c>
      <c r="E12" s="16" t="inlineStr">
        <is>
          <t>Spell</t>
        </is>
      </c>
      <c r="F12" s="16" t="inlineStr">
        <is>
          <t>4</t>
        </is>
      </c>
      <c r="G12" s="16" t="inlineStr">
        <is>
          <t>0</t>
        </is>
      </c>
      <c r="H12" s="16" t="inlineStr">
        <is>
          <t>Rare</t>
        </is>
      </c>
      <c r="I12" s="16" t="inlineStr"/>
      <c r="J12" s="17" t="inlineStr">
        <is>
          <t>ACTION (Play on your turn or in showdowns.)
Each opponent reveals the top card of their Main Deck. Choose one and play it, ignoring its cost. Then recycle the rest.</t>
        </is>
      </c>
    </row>
    <row r="13" ht="15" customHeight="1">
      <c r="A13" s="16" t="inlineStr">
        <is>
          <t>OGN-027</t>
        </is>
      </c>
      <c r="B13" s="16" t="inlineStr"/>
      <c r="C13" s="16" t="inlineStr">
        <is>
          <t>Darius - Trifarian</t>
        </is>
      </c>
      <c r="D13" s="16" t="inlineStr">
        <is>
          <t>Fury</t>
        </is>
      </c>
      <c r="E13" s="16" t="inlineStr">
        <is>
          <t>Champion Unit</t>
        </is>
      </c>
      <c r="F13" s="16" t="inlineStr">
        <is>
          <t>5</t>
        </is>
      </c>
      <c r="G13" s="16" t="inlineStr">
        <is>
          <t>5</t>
        </is>
      </c>
      <c r="H13" s="16" t="inlineStr">
        <is>
          <t>Rare</t>
        </is>
      </c>
      <c r="I13" s="16" t="inlineStr">
        <is>
          <t>Noxus;Darius;Trifarian</t>
        </is>
      </c>
      <c r="J13" s="17" t="inlineStr">
        <is>
          <t>When you play your second card in a turn, give me +2 Might this turn and ready me.</t>
        </is>
      </c>
    </row>
    <row r="14" ht="15" customHeight="1">
      <c r="A14" s="16" t="inlineStr">
        <is>
          <t>OGN-028</t>
        </is>
      </c>
      <c r="B14" s="16" t="inlineStr"/>
      <c r="C14" s="16" t="inlineStr">
        <is>
          <t>Draven - Showboat</t>
        </is>
      </c>
      <c r="D14" s="16" t="inlineStr">
        <is>
          <t>Fury</t>
        </is>
      </c>
      <c r="E14" s="16" t="inlineStr">
        <is>
          <t>Champion Unit</t>
        </is>
      </c>
      <c r="F14" s="16" t="inlineStr">
        <is>
          <t>5</t>
        </is>
      </c>
      <c r="G14" s="16" t="inlineStr">
        <is>
          <t>3</t>
        </is>
      </c>
      <c r="H14" s="16" t="inlineStr">
        <is>
          <t>Rare</t>
        </is>
      </c>
      <c r="I14" s="16" t="inlineStr">
        <is>
          <t>Noxus;Draven</t>
        </is>
      </c>
      <c r="J14" s="17" t="inlineStr">
        <is>
          <t>My Might is increased by your points.</t>
        </is>
      </c>
    </row>
    <row r="15" ht="15" customHeight="1">
      <c r="A15" s="16" t="inlineStr">
        <is>
          <t>OGN-029</t>
        </is>
      </c>
      <c r="B15" s="16" t="inlineStr"/>
      <c r="C15" s="16" t="inlineStr">
        <is>
          <t>Falling Star</t>
        </is>
      </c>
      <c r="D15" s="16" t="inlineStr">
        <is>
          <t>Fury</t>
        </is>
      </c>
      <c r="E15" s="16" t="inlineStr">
        <is>
          <t>Spell</t>
        </is>
      </c>
      <c r="F15" s="16" t="inlineStr">
        <is>
          <t>2</t>
        </is>
      </c>
      <c r="G15" s="16" t="inlineStr">
        <is>
          <t>0</t>
        </is>
      </c>
      <c r="H15" s="16" t="inlineStr">
        <is>
          <t>Rare</t>
        </is>
      </c>
      <c r="I15" s="16" t="inlineStr"/>
      <c r="J15" s="17" t="inlineStr">
        <is>
          <t>Do this twice:
Deal 3 to a unit. (You can choose different units.)</t>
        </is>
      </c>
    </row>
    <row r="16" ht="15" customHeight="1">
      <c r="A16" s="16" t="inlineStr">
        <is>
          <t>OGN-032</t>
        </is>
      </c>
      <c r="B16" s="16" t="inlineStr"/>
      <c r="C16" s="16" t="inlineStr">
        <is>
          <t>Ravenborn Tome</t>
        </is>
      </c>
      <c r="D16" s="16" t="inlineStr">
        <is>
          <t>Fury</t>
        </is>
      </c>
      <c r="E16" s="16" t="inlineStr">
        <is>
          <t>Gear</t>
        </is>
      </c>
      <c r="F16" s="16" t="inlineStr">
        <is>
          <t>3</t>
        </is>
      </c>
      <c r="G16" s="16" t="inlineStr">
        <is>
          <t>0</t>
        </is>
      </c>
      <c r="H16" s="16" t="inlineStr">
        <is>
          <t>Rare</t>
        </is>
      </c>
      <c r="I16" s="16" t="inlineStr"/>
      <c r="J16" s="17" t="inlineStr">
        <is>
          <t>Exhaust: The next spell you play deals 1 Bonus Damage. (Each instance of damage the spell deals is increased by 1.)</t>
        </is>
      </c>
    </row>
    <row r="17" ht="15" customHeight="1">
      <c r="A17" s="16" t="inlineStr">
        <is>
          <t>OGN-035</t>
        </is>
      </c>
      <c r="B17" s="16" t="inlineStr"/>
      <c r="C17" s="16" t="inlineStr">
        <is>
          <t>Vayne - Hunter</t>
        </is>
      </c>
      <c r="D17" s="16" t="inlineStr">
        <is>
          <t>Fury</t>
        </is>
      </c>
      <c r="E17" s="16" t="inlineStr">
        <is>
          <t>Champion Unit</t>
        </is>
      </c>
      <c r="F17" s="16" t="inlineStr">
        <is>
          <t>4</t>
        </is>
      </c>
      <c r="G17" s="16" t="inlineStr">
        <is>
          <t>2</t>
        </is>
      </c>
      <c r="H17" s="16" t="inlineStr">
        <is>
          <t>Rare</t>
        </is>
      </c>
      <c r="I17" s="16" t="inlineStr">
        <is>
          <t>Demacia;Vayne</t>
        </is>
      </c>
      <c r="J17" s="17" t="inlineStr">
        <is>
          <t>ASSAULT 3 (+3 Might while I'm an attacker.)If an opponent controls a battlefield, I enter ready.When I conquer, you may pay 1 to return me to my owner's hand.</t>
        </is>
      </c>
    </row>
    <row r="18" ht="15" customHeight="1">
      <c r="A18" s="16" t="inlineStr">
        <is>
          <t>OGN-037</t>
        </is>
      </c>
      <c r="B18" s="16" t="inlineStr"/>
      <c r="C18" s="16" t="inlineStr">
        <is>
          <t>Immortal Phoenix</t>
        </is>
      </c>
      <c r="D18" s="16" t="inlineStr">
        <is>
          <t>Fury</t>
        </is>
      </c>
      <c r="E18" s="16" t="inlineStr">
        <is>
          <t>Unit</t>
        </is>
      </c>
      <c r="F18" s="16" t="inlineStr">
        <is>
          <t>3</t>
        </is>
      </c>
      <c r="G18" s="16" t="inlineStr">
        <is>
          <t>3</t>
        </is>
      </c>
      <c r="H18" s="16" t="inlineStr">
        <is>
          <t>Epic</t>
        </is>
      </c>
      <c r="I18" s="16" t="inlineStr">
        <is>
          <t>Spirit</t>
        </is>
      </c>
      <c r="J18" s="17" t="inlineStr">
        <is>
          <t>ASSAULT 2 (+2 Might while I'm an attacker.)When you kill a unit with a spell, you may pay 1 Fury to play me from your trash.</t>
        </is>
      </c>
    </row>
    <row r="19" ht="15" customHeight="1">
      <c r="A19" s="16" t="inlineStr">
        <is>
          <t>OGN-039</t>
        </is>
      </c>
      <c r="B19" s="16" t="inlineStr"/>
      <c r="C19" s="16" t="inlineStr">
        <is>
          <t>Kai'Sa - Survivor</t>
        </is>
      </c>
      <c r="D19" s="16" t="inlineStr">
        <is>
          <t>Fury</t>
        </is>
      </c>
      <c r="E19" s="16" t="inlineStr">
        <is>
          <t>Champion Unit</t>
        </is>
      </c>
      <c r="F19" s="16" t="inlineStr">
        <is>
          <t>4</t>
        </is>
      </c>
      <c r="G19" s="16" t="inlineStr">
        <is>
          <t>4</t>
        </is>
      </c>
      <c r="H19" s="16" t="inlineStr">
        <is>
          <t>Epic</t>
        </is>
      </c>
      <c r="I19" s="16" t="inlineStr">
        <is>
          <t>Kai'Sa;The Void</t>
        </is>
      </c>
      <c r="J19" s="17" t="inlineStr">
        <is>
          <t>ACCELERATE (You may pay 1 Fury as an additional cost to have me enter ready.)When I conquer, draw 1.</t>
        </is>
      </c>
    </row>
    <row r="20" ht="15" customHeight="1">
      <c r="A20" s="16" t="inlineStr">
        <is>
          <t>OGN-040</t>
        </is>
      </c>
      <c r="B20" s="16" t="inlineStr"/>
      <c r="C20" s="16" t="inlineStr">
        <is>
          <t>Seal of Rage</t>
        </is>
      </c>
      <c r="D20" s="16" t="inlineStr">
        <is>
          <t>Fury</t>
        </is>
      </c>
      <c r="E20" s="16" t="inlineStr">
        <is>
          <t>Gear</t>
        </is>
      </c>
      <c r="F20" s="16" t="inlineStr">
        <is>
          <t>0</t>
        </is>
      </c>
      <c r="G20" s="16" t="inlineStr">
        <is>
          <t>0</t>
        </is>
      </c>
      <c r="H20" s="16" t="inlineStr">
        <is>
          <t>Epic</t>
        </is>
      </c>
      <c r="I20" s="16" t="inlineStr"/>
      <c r="J20" s="17" t="inlineStr">
        <is>
          <t>Exhaust: REACTION - ADD 1 Fury. (Abilities that add resources can't be reacted to.)</t>
        </is>
      </c>
    </row>
    <row r="21" ht="15" customHeight="1">
      <c r="A21" s="18" t="inlineStr">
        <is>
          <t>OGN-042</t>
        </is>
      </c>
      <c r="B21" s="18" t="inlineStr"/>
      <c r="C21" s="18" t="inlineStr">
        <is>
          <t>Calm Rune</t>
        </is>
      </c>
      <c r="D21" s="18" t="inlineStr">
        <is>
          <t>Calm</t>
        </is>
      </c>
      <c r="E21" s="18" t="inlineStr">
        <is>
          <t>Rune</t>
        </is>
      </c>
      <c r="F21" s="18" t="inlineStr">
        <is>
          <t>0</t>
        </is>
      </c>
      <c r="G21" s="18" t="inlineStr">
        <is>
          <t>0</t>
        </is>
      </c>
      <c r="H21" s="18" t="inlineStr">
        <is>
          <t>Common</t>
        </is>
      </c>
      <c r="I21" s="18" t="inlineStr"/>
      <c r="J21" s="19" t="inlineStr"/>
    </row>
    <row r="22" ht="15" customHeight="1">
      <c r="A22" s="18" t="inlineStr">
        <is>
          <t>OGN-044</t>
        </is>
      </c>
      <c r="B22" s="18" t="inlineStr"/>
      <c r="C22" s="18" t="inlineStr">
        <is>
          <t>Clockwork Keeper</t>
        </is>
      </c>
      <c r="D22" s="18" t="inlineStr">
        <is>
          <t>Calm</t>
        </is>
      </c>
      <c r="E22" s="18" t="inlineStr">
        <is>
          <t>Unit</t>
        </is>
      </c>
      <c r="F22" s="18" t="inlineStr">
        <is>
          <t>2</t>
        </is>
      </c>
      <c r="G22" s="18" t="inlineStr">
        <is>
          <t>2</t>
        </is>
      </c>
      <c r="H22" s="18" t="inlineStr">
        <is>
          <t>Common</t>
        </is>
      </c>
      <c r="I22" s="18" t="inlineStr">
        <is>
          <t>Shurima</t>
        </is>
      </c>
      <c r="J22" s="19" t="inlineStr">
        <is>
          <t>As you play me, you may pay 1 Calm as an additional cost. If you do, draw 1.</t>
        </is>
      </c>
    </row>
    <row r="23" ht="15" customHeight="1">
      <c r="A23" s="18" t="inlineStr">
        <is>
          <t>OGN-045</t>
        </is>
      </c>
      <c r="B23" s="18" t="inlineStr"/>
      <c r="C23" s="18" t="inlineStr">
        <is>
          <t>Defy</t>
        </is>
      </c>
      <c r="D23" s="18" t="inlineStr">
        <is>
          <t>Calm</t>
        </is>
      </c>
      <c r="E23" s="18" t="inlineStr">
        <is>
          <t>Spell</t>
        </is>
      </c>
      <c r="F23" s="18" t="inlineStr">
        <is>
          <t>1</t>
        </is>
      </c>
      <c r="G23" s="18" t="inlineStr">
        <is>
          <t>0</t>
        </is>
      </c>
      <c r="H23" s="18" t="inlineStr">
        <is>
          <t>Common</t>
        </is>
      </c>
      <c r="I23" s="18" t="inlineStr"/>
      <c r="J23" s="19" t="inlineStr">
        <is>
          <t>REACTION (Play any time, even before spells and abilities resolve.)Counter a spell that costs no more than 4 and no more than 1 Power.</t>
        </is>
      </c>
    </row>
    <row r="24" ht="15" customHeight="1">
      <c r="A24" s="18" t="inlineStr">
        <is>
          <t>OGN-046</t>
        </is>
      </c>
      <c r="B24" s="18" t="inlineStr"/>
      <c r="C24" s="18" t="inlineStr">
        <is>
          <t>En Garde</t>
        </is>
      </c>
      <c r="D24" s="18" t="inlineStr">
        <is>
          <t>Calm</t>
        </is>
      </c>
      <c r="E24" s="18" t="inlineStr">
        <is>
          <t>Spell</t>
        </is>
      </c>
      <c r="F24" s="18" t="inlineStr">
        <is>
          <t>1</t>
        </is>
      </c>
      <c r="G24" s="18" t="inlineStr">
        <is>
          <t>0</t>
        </is>
      </c>
      <c r="H24" s="18" t="inlineStr">
        <is>
          <t>Common</t>
        </is>
      </c>
      <c r="I24" s="18" t="inlineStr"/>
      <c r="J24" s="19" t="inlineStr">
        <is>
          <t>REACTION (Play any time, even before spells and abilities resolve.)
Give a friendly unit +1 Might this turn, then an additional +1 Might this turn if it is the only unit you control there.</t>
        </is>
      </c>
    </row>
    <row r="25" ht="15" customHeight="1">
      <c r="A25" s="18" t="inlineStr">
        <is>
          <t>OGN-048</t>
        </is>
      </c>
      <c r="B25" s="18" t="inlineStr"/>
      <c r="C25" s="18" t="inlineStr">
        <is>
          <t>Meditation</t>
        </is>
      </c>
      <c r="D25" s="18" t="inlineStr">
        <is>
          <t>Calm</t>
        </is>
      </c>
      <c r="E25" s="18" t="inlineStr">
        <is>
          <t>Spell</t>
        </is>
      </c>
      <c r="F25" s="18" t="inlineStr">
        <is>
          <t>2</t>
        </is>
      </c>
      <c r="G25" s="18" t="inlineStr">
        <is>
          <t>0</t>
        </is>
      </c>
      <c r="H25" s="18" t="inlineStr">
        <is>
          <t>Common</t>
        </is>
      </c>
      <c r="I25" s="18" t="inlineStr"/>
      <c r="J25" s="19" t="inlineStr">
        <is>
          <t>REACTION (Play any time, even before spells and abilities resolve.)
As an additional cost to play this, you may exhaust a friendly unit. If you do, draw 2. Otherwise, draw 1.</t>
        </is>
      </c>
    </row>
    <row r="26" ht="15" customHeight="1">
      <c r="A26" s="18" t="inlineStr">
        <is>
          <t>OGN-049</t>
        </is>
      </c>
      <c r="B26" s="18" t="inlineStr"/>
      <c r="C26" s="18" t="inlineStr">
        <is>
          <t>Playful Phantom</t>
        </is>
      </c>
      <c r="D26" s="18" t="inlineStr">
        <is>
          <t>Calm</t>
        </is>
      </c>
      <c r="E26" s="18" t="inlineStr">
        <is>
          <t>Unit</t>
        </is>
      </c>
      <c r="F26" s="18" t="inlineStr">
        <is>
          <t>5</t>
        </is>
      </c>
      <c r="G26" s="18" t="inlineStr">
        <is>
          <t>5</t>
        </is>
      </c>
      <c r="H26" s="18" t="inlineStr">
        <is>
          <t>Common</t>
        </is>
      </c>
      <c r="I26" s="18" t="inlineStr">
        <is>
          <t>Shadow Isles;Spirit</t>
        </is>
      </c>
      <c r="J26" s="19" t="inlineStr"/>
    </row>
    <row r="27" ht="15" customHeight="1">
      <c r="A27" s="18" t="inlineStr">
        <is>
          <t>OGN-050</t>
        </is>
      </c>
      <c r="B27" s="18" t="inlineStr"/>
      <c r="C27" s="18" t="inlineStr">
        <is>
          <t>Rune Prison</t>
        </is>
      </c>
      <c r="D27" s="18" t="inlineStr">
        <is>
          <t>Calm</t>
        </is>
      </c>
      <c r="E27" s="18" t="inlineStr">
        <is>
          <t>Spell</t>
        </is>
      </c>
      <c r="F27" s="18" t="inlineStr">
        <is>
          <t>2</t>
        </is>
      </c>
      <c r="G27" s="18" t="inlineStr">
        <is>
          <t>0</t>
        </is>
      </c>
      <c r="H27" s="18" t="inlineStr">
        <is>
          <t>Common</t>
        </is>
      </c>
      <c r="I27" s="18" t="inlineStr"/>
      <c r="J27" s="19" t="inlineStr">
        <is>
          <t>ACTION (Play on your turn or in showdowns.)
Stun a unit. (It doesn't deal combat damage this turn.)</t>
        </is>
      </c>
    </row>
    <row r="28" ht="15" customHeight="1">
      <c r="A28" s="18" t="inlineStr">
        <is>
          <t>OGN-051</t>
        </is>
      </c>
      <c r="B28" s="18" t="inlineStr"/>
      <c r="C28" s="18" t="inlineStr">
        <is>
          <t>Solari Shieldbearer</t>
        </is>
      </c>
      <c r="D28" s="18" t="inlineStr">
        <is>
          <t>Calm</t>
        </is>
      </c>
      <c r="E28" s="18" t="inlineStr">
        <is>
          <t>Unit</t>
        </is>
      </c>
      <c r="F28" s="18" t="inlineStr">
        <is>
          <t>3</t>
        </is>
      </c>
      <c r="G28" s="18" t="inlineStr">
        <is>
          <t>2</t>
        </is>
      </c>
      <c r="H28" s="18" t="inlineStr">
        <is>
          <t>Common</t>
        </is>
      </c>
      <c r="I28" s="18" t="inlineStr">
        <is>
          <t>Mount Targon</t>
        </is>
      </c>
      <c r="J28" s="19" t="inlineStr">
        <is>
          <t>When you play me, stun a unit. (It doesn't deal combat damage this turn.)</t>
        </is>
      </c>
    </row>
    <row r="29" ht="15" customHeight="1">
      <c r="A29" s="18" t="inlineStr">
        <is>
          <t>OGN-056</t>
        </is>
      </c>
      <c r="B29" s="18" t="inlineStr"/>
      <c r="C29" s="18" t="inlineStr">
        <is>
          <t>Adaptatron</t>
        </is>
      </c>
      <c r="D29" s="18" t="inlineStr">
        <is>
          <t>Calm</t>
        </is>
      </c>
      <c r="E29" s="18" t="inlineStr">
        <is>
          <t>Unit</t>
        </is>
      </c>
      <c r="F29" s="18" t="inlineStr">
        <is>
          <t>4</t>
        </is>
      </c>
      <c r="G29" s="18" t="inlineStr">
        <is>
          <t>3</t>
        </is>
      </c>
      <c r="H29" s="18" t="inlineStr">
        <is>
          <t>Uncommon</t>
        </is>
      </c>
      <c r="I29" s="18" t="inlineStr">
        <is>
          <t>Mech;Piltover</t>
        </is>
      </c>
      <c r="J29" s="19" t="inlineStr">
        <is>
          <t>When I conquer, you may kill a gear. If you do, buff me. (If I don't have a buff, I get a +1 Might buff.)</t>
        </is>
      </c>
    </row>
    <row r="30" ht="15" customHeight="1">
      <c r="A30" s="18" t="inlineStr">
        <is>
          <t>OGN-057</t>
        </is>
      </c>
      <c r="B30" s="18" t="inlineStr"/>
      <c r="C30" s="18" t="inlineStr">
        <is>
          <t>Block</t>
        </is>
      </c>
      <c r="D30" s="18" t="inlineStr">
        <is>
          <t>Calm</t>
        </is>
      </c>
      <c r="E30" s="18" t="inlineStr">
        <is>
          <t>Spell</t>
        </is>
      </c>
      <c r="F30" s="18" t="inlineStr">
        <is>
          <t>2</t>
        </is>
      </c>
      <c r="G30" s="18" t="inlineStr">
        <is>
          <t>0</t>
        </is>
      </c>
      <c r="H30" s="18" t="inlineStr">
        <is>
          <t>Uncommon</t>
        </is>
      </c>
      <c r="I30" s="18" t="inlineStr"/>
      <c r="J30" s="19" t="inlineStr">
        <is>
          <t>HIDDEN (Hide now for 1 Rune to react with later for 0.)
ACTION (Play on your turn or in showdowns.)
Give a unit SHIELD 3 and TANK this turn. (+3 Might while it's a defender. It must be assigned combat damage first.)</t>
        </is>
      </c>
    </row>
    <row r="31" ht="15" customHeight="1">
      <c r="A31" s="18" t="inlineStr">
        <is>
          <t>OGN-059</t>
        </is>
      </c>
      <c r="B31" s="18" t="inlineStr"/>
      <c r="C31" s="18" t="inlineStr">
        <is>
          <t>Eclipse Herald</t>
        </is>
      </c>
      <c r="D31" s="18" t="inlineStr">
        <is>
          <t>Calm</t>
        </is>
      </c>
      <c r="E31" s="18" t="inlineStr">
        <is>
          <t>Unit</t>
        </is>
      </c>
      <c r="F31" s="18" t="inlineStr">
        <is>
          <t>7</t>
        </is>
      </c>
      <c r="G31" s="18" t="inlineStr">
        <is>
          <t>7</t>
        </is>
      </c>
      <c r="H31" s="18" t="inlineStr">
        <is>
          <t>Uncommon</t>
        </is>
      </c>
      <c r="I31" s="18" t="inlineStr">
        <is>
          <t>Bird;Mount Targon</t>
        </is>
      </c>
      <c r="J31" s="19" t="inlineStr">
        <is>
          <t>When you stun an enemy unit, ready me and give me +1 Might this turn.</t>
        </is>
      </c>
    </row>
    <row r="32" ht="15" customHeight="1">
      <c r="A32" s="18" t="inlineStr">
        <is>
          <t>OGN-061</t>
        </is>
      </c>
      <c r="B32" s="18" t="inlineStr"/>
      <c r="C32" s="18" t="inlineStr">
        <is>
          <t>Poro Herder</t>
        </is>
      </c>
      <c r="D32" s="18" t="inlineStr">
        <is>
          <t>Calm</t>
        </is>
      </c>
      <c r="E32" s="18" t="inlineStr">
        <is>
          <t>Unit</t>
        </is>
      </c>
      <c r="F32" s="18" t="inlineStr">
        <is>
          <t>3</t>
        </is>
      </c>
      <c r="G32" s="18" t="inlineStr">
        <is>
          <t>3</t>
        </is>
      </c>
      <c r="H32" s="18" t="inlineStr">
        <is>
          <t>Uncommon</t>
        </is>
      </c>
      <c r="I32" s="18" t="inlineStr">
        <is>
          <t>Freljord</t>
        </is>
      </c>
      <c r="J32" s="19" t="inlineStr">
        <is>
          <t>When you play me, if you control a Poro, buff me and draw 1. (If I don't have a buff, I get a +1 Might buff.)</t>
        </is>
      </c>
    </row>
    <row r="33" ht="15" customHeight="1">
      <c r="A33" s="18" t="inlineStr">
        <is>
          <t>OGN-062</t>
        </is>
      </c>
      <c r="B33" s="18" t="inlineStr"/>
      <c r="C33" s="18" t="inlineStr">
        <is>
          <t>Reinforce</t>
        </is>
      </c>
      <c r="D33" s="18" t="inlineStr">
        <is>
          <t>Calm</t>
        </is>
      </c>
      <c r="E33" s="18" t="inlineStr">
        <is>
          <t>Spell</t>
        </is>
      </c>
      <c r="F33" s="18" t="inlineStr">
        <is>
          <t>5</t>
        </is>
      </c>
      <c r="G33" s="18" t="inlineStr">
        <is>
          <t>0</t>
        </is>
      </c>
      <c r="H33" s="18" t="inlineStr">
        <is>
          <t>Uncommon</t>
        </is>
      </c>
      <c r="I33" s="18" t="inlineStr"/>
      <c r="J33" s="19" t="inlineStr">
        <is>
          <t>Look at the top 5 cards of you Main Deck. You may play a unit from among them. Its Energy cost is reduced by 5. Then recycle the remaining cards.</t>
        </is>
      </c>
    </row>
    <row r="34" ht="15" customHeight="1">
      <c r="A34" s="18" t="inlineStr">
        <is>
          <t>OGN-063</t>
        </is>
      </c>
      <c r="B34" s="18" t="inlineStr"/>
      <c r="C34" s="18" t="inlineStr">
        <is>
          <t>Spirit's Refuge</t>
        </is>
      </c>
      <c r="D34" s="18" t="inlineStr">
        <is>
          <t>Calm</t>
        </is>
      </c>
      <c r="E34" s="18" t="inlineStr">
        <is>
          <t>Gear</t>
        </is>
      </c>
      <c r="F34" s="18" t="inlineStr">
        <is>
          <t>2</t>
        </is>
      </c>
      <c r="G34" s="18" t="inlineStr">
        <is>
          <t>0</t>
        </is>
      </c>
      <c r="H34" s="18" t="inlineStr">
        <is>
          <t>Uncommon</t>
        </is>
      </c>
      <c r="I34" s="18" t="inlineStr"/>
      <c r="J34" s="19" t="inlineStr">
        <is>
          <t>When you play this, buff a friendly unit. (If it doesn't have a buff, it gets a +1 Might buff.)
Friendly buffed units have DEFLECT if they didn't already. (Opponents must pay 1 Power to choose those units with a spell or ability.)</t>
        </is>
      </c>
    </row>
    <row r="35" ht="15" customHeight="1">
      <c r="A35" s="18" t="inlineStr">
        <is>
          <t>OGN-064</t>
        </is>
      </c>
      <c r="B35" s="18" t="inlineStr"/>
      <c r="C35" s="18" t="inlineStr">
        <is>
          <t>Wind Wall</t>
        </is>
      </c>
      <c r="D35" s="18" t="inlineStr">
        <is>
          <t>Calm</t>
        </is>
      </c>
      <c r="E35" s="18" t="inlineStr">
        <is>
          <t>Spell</t>
        </is>
      </c>
      <c r="F35" s="18" t="inlineStr">
        <is>
          <t>3</t>
        </is>
      </c>
      <c r="G35" s="18" t="inlineStr">
        <is>
          <t>0</t>
        </is>
      </c>
      <c r="H35" s="18" t="inlineStr">
        <is>
          <t>Uncommon</t>
        </is>
      </c>
      <c r="I35" s="18" t="inlineStr"/>
      <c r="J35" s="19" t="inlineStr">
        <is>
          <t>REACTION (Play any time, even before spells and abilities resolve.)Counter a spell.</t>
        </is>
      </c>
    </row>
    <row r="36" ht="15" customHeight="1">
      <c r="A36" s="18" t="inlineStr">
        <is>
          <t>OGN-066</t>
        </is>
      </c>
      <c r="B36" s="18" t="inlineStr"/>
      <c r="C36" s="18" t="inlineStr">
        <is>
          <t>Ahri - Alluring</t>
        </is>
      </c>
      <c r="D36" s="18" t="inlineStr">
        <is>
          <t>Calm</t>
        </is>
      </c>
      <c r="E36" s="18" t="inlineStr">
        <is>
          <t>Champion Unit</t>
        </is>
      </c>
      <c r="F36" s="18" t="inlineStr">
        <is>
          <t>5</t>
        </is>
      </c>
      <c r="G36" s="18" t="inlineStr">
        <is>
          <t>4</t>
        </is>
      </c>
      <c r="H36" s="18" t="inlineStr">
        <is>
          <t>Rare</t>
        </is>
      </c>
      <c r="I36" s="18" t="inlineStr">
        <is>
          <t>Ahri;Ionia</t>
        </is>
      </c>
      <c r="J36" s="19" t="inlineStr">
        <is>
          <t>When I hold, you score 1 point.</t>
        </is>
      </c>
    </row>
    <row r="37" ht="15" customHeight="1">
      <c r="A37" s="18" t="inlineStr">
        <is>
          <t>OGN-068</t>
        </is>
      </c>
      <c r="B37" s="18" t="inlineStr"/>
      <c r="C37" s="18" t="inlineStr">
        <is>
          <t>Caitlyn - Patrolling</t>
        </is>
      </c>
      <c r="D37" s="18" t="inlineStr">
        <is>
          <t>Calm</t>
        </is>
      </c>
      <c r="E37" s="18" t="inlineStr">
        <is>
          <t>Champion Unit</t>
        </is>
      </c>
      <c r="F37" s="18" t="inlineStr">
        <is>
          <t>3</t>
        </is>
      </c>
      <c r="G37" s="18" t="inlineStr">
        <is>
          <t>3</t>
        </is>
      </c>
      <c r="H37" s="18" t="inlineStr">
        <is>
          <t>Rare</t>
        </is>
      </c>
      <c r="I37" s="18" t="inlineStr">
        <is>
          <t>Caitlyn;Piltover</t>
        </is>
      </c>
      <c r="J37" s="19" t="inlineStr">
        <is>
          <t>I must be assigned combat damage last.
Exhaust: Deal damage equal to my Might to a unit at a battlefield. Use this ability only while I'm at a battlefield.</t>
        </is>
      </c>
    </row>
    <row r="38" ht="15" customHeight="1">
      <c r="A38" s="18" t="inlineStr">
        <is>
          <t>OGN-069</t>
        </is>
      </c>
      <c r="B38" s="18" t="inlineStr"/>
      <c r="C38" s="18" t="inlineStr">
        <is>
          <t>Last Stand</t>
        </is>
      </c>
      <c r="D38" s="18" t="inlineStr">
        <is>
          <t>Calm</t>
        </is>
      </c>
      <c r="E38" s="18" t="inlineStr">
        <is>
          <t>Spell</t>
        </is>
      </c>
      <c r="F38" s="18" t="inlineStr">
        <is>
          <t>3</t>
        </is>
      </c>
      <c r="G38" s="18" t="inlineStr">
        <is>
          <t>0</t>
        </is>
      </c>
      <c r="H38" s="18" t="inlineStr">
        <is>
          <t>Rare</t>
        </is>
      </c>
      <c r="I38" s="18" t="inlineStr"/>
      <c r="J38" s="19" t="inlineStr">
        <is>
          <t>ACTION (Play on your turn or in showdowns.)
Double a friendly unit's Might this turn. Give it TEMPORARY. (Kill it at the start of its controller's Beginning Phase, before scoring.)</t>
        </is>
      </c>
    </row>
    <row r="39" ht="15" customHeight="1">
      <c r="A39" s="18" t="inlineStr">
        <is>
          <t>OGN-070</t>
        </is>
      </c>
      <c r="B39" s="18" t="inlineStr"/>
      <c r="C39" s="18" t="inlineStr">
        <is>
          <t>Mageseeker Warden</t>
        </is>
      </c>
      <c r="D39" s="18" t="inlineStr">
        <is>
          <t>Calm</t>
        </is>
      </c>
      <c r="E39" s="18" t="inlineStr">
        <is>
          <t>Unit</t>
        </is>
      </c>
      <c r="F39" s="18" t="inlineStr">
        <is>
          <t>6</t>
        </is>
      </c>
      <c r="G39" s="18" t="inlineStr">
        <is>
          <t>5</t>
        </is>
      </c>
      <c r="H39" s="18" t="inlineStr">
        <is>
          <t>Rare</t>
        </is>
      </c>
      <c r="I39" s="18" t="inlineStr">
        <is>
          <t>Demacia</t>
        </is>
      </c>
      <c r="J39" s="19" t="inlineStr">
        <is>
          <t>While I'm at a battlefield, opponents can only play units to their base.
While I'm at a battlefield, spells and abilities can't ready enemy units and gears.</t>
        </is>
      </c>
    </row>
    <row r="40" ht="15" customHeight="1">
      <c r="A40" s="18" t="inlineStr">
        <is>
          <t>OGN-071</t>
        </is>
      </c>
      <c r="B40" s="18" t="inlineStr"/>
      <c r="C40" s="18" t="inlineStr">
        <is>
          <t>Party Favors</t>
        </is>
      </c>
      <c r="D40" s="18" t="inlineStr">
        <is>
          <t>Calm</t>
        </is>
      </c>
      <c r="E40" s="18" t="inlineStr">
        <is>
          <t>Spell</t>
        </is>
      </c>
      <c r="F40" s="18" t="inlineStr">
        <is>
          <t>3</t>
        </is>
      </c>
      <c r="G40" s="18" t="inlineStr">
        <is>
          <t>0</t>
        </is>
      </c>
      <c r="H40" s="18" t="inlineStr">
        <is>
          <t>Rare</t>
        </is>
      </c>
      <c r="I40" s="18" t="inlineStr"/>
      <c r="J40" s="19" t="inlineStr">
        <is>
          <t>Each other player chooses Cards or Runes.
For each player that chooses Cards, you and that player each draw 1.
For each player that chooses Runes, you and that player each channel 1 rune exhausted.</t>
        </is>
      </c>
    </row>
    <row r="41" ht="15" customHeight="1">
      <c r="A41" s="18" t="inlineStr">
        <is>
          <t>OGN-073</t>
        </is>
      </c>
      <c r="B41" s="18" t="inlineStr"/>
      <c r="C41" s="18" t="inlineStr">
        <is>
          <t>Sona - Harmonious</t>
        </is>
      </c>
      <c r="D41" s="18" t="inlineStr">
        <is>
          <t>Calm</t>
        </is>
      </c>
      <c r="E41" s="18" t="inlineStr">
        <is>
          <t>Champion Unit</t>
        </is>
      </c>
      <c r="F41" s="18" t="inlineStr">
        <is>
          <t>4</t>
        </is>
      </c>
      <c r="G41" s="18" t="inlineStr">
        <is>
          <t>4</t>
        </is>
      </c>
      <c r="H41" s="18" t="inlineStr">
        <is>
          <t>Rare</t>
        </is>
      </c>
      <c r="I41" s="18" t="inlineStr">
        <is>
          <t>Demacia;Sona</t>
        </is>
      </c>
      <c r="J41" s="19" t="inlineStr">
        <is>
          <t>While I'm at a battlefield, ready 4 friendly runes at the end of your turn.</t>
        </is>
      </c>
    </row>
    <row r="42" ht="15" customHeight="1">
      <c r="A42" s="18" t="inlineStr">
        <is>
          <t>OGN-074</t>
        </is>
      </c>
      <c r="B42" s="18" t="inlineStr"/>
      <c r="C42" s="18" t="inlineStr">
        <is>
          <t>Taric - Protector</t>
        </is>
      </c>
      <c r="D42" s="18" t="inlineStr">
        <is>
          <t>Calm</t>
        </is>
      </c>
      <c r="E42" s="18" t="inlineStr">
        <is>
          <t>Champion Unit</t>
        </is>
      </c>
      <c r="F42" s="18" t="inlineStr">
        <is>
          <t>4</t>
        </is>
      </c>
      <c r="G42" s="18" t="inlineStr">
        <is>
          <t>4</t>
        </is>
      </c>
      <c r="H42" s="18" t="inlineStr">
        <is>
          <t>Rare</t>
        </is>
      </c>
      <c r="I42" s="18" t="inlineStr">
        <is>
          <t>Mount Targon;Taric</t>
        </is>
      </c>
      <c r="J42" s="19" t="inlineStr">
        <is>
          <t>SHIELD (+1 Might while I'm a defender.)TANK (I must be assigned combat damage first.)Other friendly units here have SHIELD.</t>
        </is>
      </c>
    </row>
    <row r="43" ht="15" customHeight="1">
      <c r="A43" s="18" t="inlineStr">
        <is>
          <t>OGN-075</t>
        </is>
      </c>
      <c r="B43" s="18" t="inlineStr"/>
      <c r="C43" s="18" t="inlineStr">
        <is>
          <t>Tasty Faefolk</t>
        </is>
      </c>
      <c r="D43" s="18" t="inlineStr">
        <is>
          <t>Calm</t>
        </is>
      </c>
      <c r="E43" s="18" t="inlineStr">
        <is>
          <t>Unit</t>
        </is>
      </c>
      <c r="F43" s="18" t="inlineStr">
        <is>
          <t>7</t>
        </is>
      </c>
      <c r="G43" s="18" t="inlineStr">
        <is>
          <t>6</t>
        </is>
      </c>
      <c r="H43" s="18" t="inlineStr">
        <is>
          <t>Rare</t>
        </is>
      </c>
      <c r="I43" s="18" t="inlineStr">
        <is>
          <t>Bandle City;Fae</t>
        </is>
      </c>
      <c r="J43" s="19" t="inlineStr">
        <is>
          <t>ACCELERATE (You may play 1 Calm as an additional cost to have me enter ready.)DEATHKNELL - Channel 2 runes exhausted and draw 1. (When I die, get the effect.)</t>
        </is>
      </c>
    </row>
    <row r="44" ht="15" customHeight="1">
      <c r="A44" s="18" t="inlineStr">
        <is>
          <t>OGN-076</t>
        </is>
      </c>
      <c r="B44" s="18" t="inlineStr"/>
      <c r="C44" s="18" t="inlineStr">
        <is>
          <t>Yasuo - Remorseful</t>
        </is>
      </c>
      <c r="D44" s="18" t="inlineStr">
        <is>
          <t>Calm</t>
        </is>
      </c>
      <c r="E44" s="18" t="inlineStr">
        <is>
          <t>Champion Unit</t>
        </is>
      </c>
      <c r="F44" s="18" t="inlineStr">
        <is>
          <t>6</t>
        </is>
      </c>
      <c r="G44" s="18" t="inlineStr">
        <is>
          <t>6</t>
        </is>
      </c>
      <c r="H44" s="18" t="inlineStr">
        <is>
          <t>Rare</t>
        </is>
      </c>
      <c r="I44" s="18" t="inlineStr">
        <is>
          <t>Ionia;Yasuo</t>
        </is>
      </c>
      <c r="J44" s="19" t="inlineStr">
        <is>
          <t>When I attack, deal damage equal to my Might to an enemy unit here.</t>
        </is>
      </c>
    </row>
    <row r="45" ht="15" customHeight="1">
      <c r="A45" s="18" t="inlineStr">
        <is>
          <t>OGN-077</t>
        </is>
      </c>
      <c r="B45" s="18" t="inlineStr"/>
      <c r="C45" s="18" t="inlineStr">
        <is>
          <t>Zhonya's Hourglass</t>
        </is>
      </c>
      <c r="D45" s="18" t="inlineStr">
        <is>
          <t>Calm</t>
        </is>
      </c>
      <c r="E45" s="18" t="inlineStr">
        <is>
          <t>Gear</t>
        </is>
      </c>
      <c r="F45" s="18" t="inlineStr">
        <is>
          <t>2</t>
        </is>
      </c>
      <c r="G45" s="18" t="inlineStr">
        <is>
          <t>0</t>
        </is>
      </c>
      <c r="H45" s="18" t="inlineStr">
        <is>
          <t>Rare</t>
        </is>
      </c>
      <c r="I45" s="18" t="inlineStr"/>
      <c r="J45" s="19" t="inlineStr">
        <is>
          <t>HIDDEN (Hide now for 1 Rune to react with later for 0.)The next time a friendly unit would die, kill this instead. Recall that unit exhausted. (Send it to base. This isn't a move.)</t>
        </is>
      </c>
    </row>
    <row r="46" ht="15" customHeight="1">
      <c r="A46" s="18" t="inlineStr">
        <is>
          <t>OGN-078</t>
        </is>
      </c>
      <c r="B46" s="18" t="inlineStr"/>
      <c r="C46" s="18" t="inlineStr">
        <is>
          <t>Lee Sin - Ascetic</t>
        </is>
      </c>
      <c r="D46" s="18" t="inlineStr">
        <is>
          <t>Calm</t>
        </is>
      </c>
      <c r="E46" s="18" t="inlineStr">
        <is>
          <t>Champion Unit</t>
        </is>
      </c>
      <c r="F46" s="18" t="inlineStr">
        <is>
          <t>5</t>
        </is>
      </c>
      <c r="G46" s="18" t="inlineStr">
        <is>
          <t>5</t>
        </is>
      </c>
      <c r="H46" s="18" t="inlineStr">
        <is>
          <t>Epic</t>
        </is>
      </c>
      <c r="I46" s="18" t="inlineStr">
        <is>
          <t>Ionia;Lee Sin</t>
        </is>
      </c>
      <c r="J46" s="19" t="inlineStr">
        <is>
          <t>SHIELD (+1 Might while I'm a defender.)
Exhaust: Buff me. (I get a +1 Might buff.)
I can have any number of buffs.</t>
        </is>
      </c>
    </row>
    <row r="47" ht="15" customHeight="1">
      <c r="A47" s="18" t="inlineStr">
        <is>
          <t>OGN-079</t>
        </is>
      </c>
      <c r="B47" s="18" t="inlineStr"/>
      <c r="C47" s="18" t="inlineStr">
        <is>
          <t>Leona - Zealot</t>
        </is>
      </c>
      <c r="D47" s="18" t="inlineStr">
        <is>
          <t>Calm</t>
        </is>
      </c>
      <c r="E47" s="18" t="inlineStr">
        <is>
          <t>Champion Unit</t>
        </is>
      </c>
      <c r="F47" s="18" t="inlineStr">
        <is>
          <t>6</t>
        </is>
      </c>
      <c r="G47" s="18" t="inlineStr">
        <is>
          <t>6</t>
        </is>
      </c>
      <c r="H47" s="18" t="inlineStr">
        <is>
          <t>Epic</t>
        </is>
      </c>
      <c r="I47" s="18" t="inlineStr">
        <is>
          <t>Leona;Mount Targon</t>
        </is>
      </c>
      <c r="J47" s="19" t="inlineStr">
        <is>
          <t>If an opponent's score is within 3 points of the Victory Score, I enter ready.
Stunned enemy units here have -8 Might, to a minimum of 1 Might.</t>
        </is>
      </c>
    </row>
    <row r="48" ht="15" customHeight="1">
      <c r="A48" s="18" t="inlineStr">
        <is>
          <t>OGN-080</t>
        </is>
      </c>
      <c r="B48" s="18" t="inlineStr"/>
      <c r="C48" s="18" t="inlineStr">
        <is>
          <t>Mystic Reversal</t>
        </is>
      </c>
      <c r="D48" s="18" t="inlineStr">
        <is>
          <t>Calm</t>
        </is>
      </c>
      <c r="E48" s="18" t="inlineStr">
        <is>
          <t>Spell</t>
        </is>
      </c>
      <c r="F48" s="18" t="inlineStr">
        <is>
          <t>4</t>
        </is>
      </c>
      <c r="G48" s="18" t="inlineStr">
        <is>
          <t>0</t>
        </is>
      </c>
      <c r="H48" s="18" t="inlineStr">
        <is>
          <t>Epic</t>
        </is>
      </c>
      <c r="I48" s="18" t="inlineStr"/>
      <c r="J48" s="19" t="inlineStr">
        <is>
          <t>REACTION (Play any time, even before spells and abilities resolve.)Gain control of a spell. You may make new choices for it.</t>
        </is>
      </c>
    </row>
    <row r="49" ht="15" customHeight="1">
      <c r="A49" s="18" t="inlineStr">
        <is>
          <t>OGN-081</t>
        </is>
      </c>
      <c r="B49" s="18" t="inlineStr"/>
      <c r="C49" s="18" t="inlineStr">
        <is>
          <t>Seal of Focus</t>
        </is>
      </c>
      <c r="D49" s="18" t="inlineStr">
        <is>
          <t>Calm</t>
        </is>
      </c>
      <c r="E49" s="18" t="inlineStr">
        <is>
          <t>Gear</t>
        </is>
      </c>
      <c r="F49" s="18" t="inlineStr">
        <is>
          <t>0</t>
        </is>
      </c>
      <c r="G49" s="18" t="inlineStr">
        <is>
          <t>0</t>
        </is>
      </c>
      <c r="H49" s="18" t="inlineStr">
        <is>
          <t>Epic</t>
        </is>
      </c>
      <c r="I49" s="18" t="inlineStr"/>
      <c r="J49" s="19" t="inlineStr">
        <is>
          <t>Exhaust: REACTION - ADD calm. (Abilities that add resources can't be reacted to.)</t>
        </is>
      </c>
    </row>
    <row r="50" ht="15" customHeight="1">
      <c r="A50" s="18" t="inlineStr">
        <is>
          <t>OGN-082</t>
        </is>
      </c>
      <c r="B50" s="18" t="inlineStr"/>
      <c r="C50" s="18" t="inlineStr">
        <is>
          <t>Whiteflame Protector</t>
        </is>
      </c>
      <c r="D50" s="18" t="inlineStr">
        <is>
          <t>Calm</t>
        </is>
      </c>
      <c r="E50" s="18" t="inlineStr">
        <is>
          <t>Unit</t>
        </is>
      </c>
      <c r="F50" s="18" t="inlineStr">
        <is>
          <t>8</t>
        </is>
      </c>
      <c r="G50" s="18" t="inlineStr">
        <is>
          <t>8</t>
        </is>
      </c>
      <c r="H50" s="18" t="inlineStr">
        <is>
          <t>Epic</t>
        </is>
      </c>
      <c r="I50" s="18" t="inlineStr">
        <is>
          <t>Dragon;Mount Targon</t>
        </is>
      </c>
      <c r="J50" s="19" t="inlineStr">
        <is>
          <t>When you play me, give a unit +8 Might this turn.</t>
        </is>
      </c>
    </row>
    <row r="51" ht="15" customHeight="1">
      <c r="A51" s="20" t="inlineStr">
        <is>
          <t>OGN-085</t>
        </is>
      </c>
      <c r="B51" s="20" t="inlineStr"/>
      <c r="C51" s="20" t="inlineStr">
        <is>
          <t>Falling Comet</t>
        </is>
      </c>
      <c r="D51" s="20" t="inlineStr">
        <is>
          <t>Mind</t>
        </is>
      </c>
      <c r="E51" s="20" t="inlineStr">
        <is>
          <t>Spell</t>
        </is>
      </c>
      <c r="F51" s="20" t="inlineStr">
        <is>
          <t>5</t>
        </is>
      </c>
      <c r="G51" s="20" t="inlineStr">
        <is>
          <t>0</t>
        </is>
      </c>
      <c r="H51" s="20" t="inlineStr">
        <is>
          <t>Common</t>
        </is>
      </c>
      <c r="I51" s="20" t="inlineStr"/>
      <c r="J51" s="21" t="inlineStr">
        <is>
          <t>ACTION (play on your turn or in showdowns.)</t>
        </is>
      </c>
    </row>
    <row r="52" ht="15" customHeight="1">
      <c r="A52" s="20" t="inlineStr">
        <is>
          <t>OGN-088</t>
        </is>
      </c>
      <c r="B52" s="20" t="inlineStr"/>
      <c r="C52" s="20" t="inlineStr">
        <is>
          <t>Mega-Mech</t>
        </is>
      </c>
      <c r="D52" s="20" t="inlineStr">
        <is>
          <t>Mind</t>
        </is>
      </c>
      <c r="E52" s="20" t="inlineStr">
        <is>
          <t>Unit</t>
        </is>
      </c>
      <c r="F52" s="20" t="inlineStr">
        <is>
          <t>7</t>
        </is>
      </c>
      <c r="G52" s="20" t="inlineStr">
        <is>
          <t>8</t>
        </is>
      </c>
      <c r="H52" s="20" t="inlineStr">
        <is>
          <t>Common</t>
        </is>
      </c>
      <c r="I52" s="20" t="inlineStr">
        <is>
          <t>Bandle City;Mech</t>
        </is>
      </c>
      <c r="J52" s="21" t="inlineStr"/>
    </row>
    <row r="53" ht="15" customHeight="1">
      <c r="A53" s="20" t="inlineStr">
        <is>
          <t>OGN-089</t>
        </is>
      </c>
      <c r="B53" s="20" t="inlineStr"/>
      <c r="C53" s="20" t="inlineStr">
        <is>
          <t>Mind Rune</t>
        </is>
      </c>
      <c r="D53" s="20" t="inlineStr">
        <is>
          <t>Mind</t>
        </is>
      </c>
      <c r="E53" s="20" t="inlineStr">
        <is>
          <t>Rune</t>
        </is>
      </c>
      <c r="F53" s="20" t="inlineStr">
        <is>
          <t>0</t>
        </is>
      </c>
      <c r="G53" s="20" t="inlineStr">
        <is>
          <t>0</t>
        </is>
      </c>
      <c r="H53" s="20" t="inlineStr">
        <is>
          <t>Common</t>
        </is>
      </c>
      <c r="I53" s="20" t="inlineStr"/>
      <c r="J53" s="21" t="inlineStr"/>
    </row>
    <row r="54" ht="15" customHeight="1">
      <c r="A54" s="20" t="inlineStr">
        <is>
          <t>OGN-091</t>
        </is>
      </c>
      <c r="B54" s="20" t="inlineStr"/>
      <c r="C54" s="20" t="inlineStr">
        <is>
          <t>Pit Crew</t>
        </is>
      </c>
      <c r="D54" s="20" t="inlineStr">
        <is>
          <t>Mind</t>
        </is>
      </c>
      <c r="E54" s="20" t="inlineStr">
        <is>
          <t>Unit</t>
        </is>
      </c>
      <c r="F54" s="20" t="inlineStr">
        <is>
          <t>3</t>
        </is>
      </c>
      <c r="G54" s="20" t="inlineStr">
        <is>
          <t>3</t>
        </is>
      </c>
      <c r="H54" s="20" t="inlineStr">
        <is>
          <t>Common</t>
        </is>
      </c>
      <c r="I54" s="20" t="inlineStr">
        <is>
          <t>Bandle City</t>
        </is>
      </c>
      <c r="J54" s="21" t="inlineStr">
        <is>
          <t>When you play a gear, ready me.</t>
        </is>
      </c>
    </row>
    <row r="55" ht="15" customHeight="1">
      <c r="A55" s="20" t="inlineStr">
        <is>
          <t>OGN-092</t>
        </is>
      </c>
      <c r="B55" s="20" t="inlineStr"/>
      <c r="C55" s="20" t="inlineStr">
        <is>
          <t>Riptide Rex</t>
        </is>
      </c>
      <c r="D55" s="20" t="inlineStr">
        <is>
          <t>Mind</t>
        </is>
      </c>
      <c r="E55" s="20" t="inlineStr">
        <is>
          <t>Unit</t>
        </is>
      </c>
      <c r="F55" s="20" t="inlineStr">
        <is>
          <t>6</t>
        </is>
      </c>
      <c r="G55" s="20" t="inlineStr">
        <is>
          <t>6</t>
        </is>
      </c>
      <c r="H55" s="20" t="inlineStr">
        <is>
          <t>Common</t>
        </is>
      </c>
      <c r="I55" s="20" t="inlineStr">
        <is>
          <t>Bilgewater;Pirate</t>
        </is>
      </c>
      <c r="J55" s="21" t="inlineStr">
        <is>
          <t>When you play me, deal 6 to an enemy unit at a battlefield.</t>
        </is>
      </c>
    </row>
    <row r="56" ht="15" customHeight="1">
      <c r="A56" s="20" t="inlineStr">
        <is>
          <t>OGN-097</t>
        </is>
      </c>
      <c r="B56" s="20" t="inlineStr"/>
      <c r="C56" s="20" t="inlineStr">
        <is>
          <t>Blastcone Fae</t>
        </is>
      </c>
      <c r="D56" s="20" t="inlineStr">
        <is>
          <t>Mind</t>
        </is>
      </c>
      <c r="E56" s="20" t="inlineStr">
        <is>
          <t>Unit</t>
        </is>
      </c>
      <c r="F56" s="20" t="inlineStr">
        <is>
          <t>2</t>
        </is>
      </c>
      <c r="G56" s="20" t="inlineStr">
        <is>
          <t>2</t>
        </is>
      </c>
      <c r="H56" s="20" t="inlineStr">
        <is>
          <t>Uncommon</t>
        </is>
      </c>
      <c r="I56" s="20" t="inlineStr">
        <is>
          <t>Bandle City;Fae</t>
        </is>
      </c>
      <c r="J56" s="21" t="inlineStr">
        <is>
          <t>HIDDEN (Hide now for 1 Rune to react with later for 0.)
When you play me, give a unit -2 Might this turn, to a minimum of 1 Might.</t>
        </is>
      </c>
    </row>
    <row r="57" ht="15" customHeight="1">
      <c r="A57" s="20" t="inlineStr">
        <is>
          <t>OGN-098</t>
        </is>
      </c>
      <c r="B57" s="20" t="inlineStr"/>
      <c r="C57" s="20" t="inlineStr">
        <is>
          <t>Energy Conduit</t>
        </is>
      </c>
      <c r="D57" s="20" t="inlineStr">
        <is>
          <t>Mind</t>
        </is>
      </c>
      <c r="E57" s="20" t="inlineStr">
        <is>
          <t>Gear</t>
        </is>
      </c>
      <c r="F57" s="20" t="inlineStr">
        <is>
          <t>3</t>
        </is>
      </c>
      <c r="G57" s="20" t="inlineStr">
        <is>
          <t>0</t>
        </is>
      </c>
      <c r="H57" s="20" t="inlineStr">
        <is>
          <t>Uncommon</t>
        </is>
      </c>
      <c r="I57" s="20" t="inlineStr"/>
      <c r="J57" s="21" t="inlineStr">
        <is>
          <t>Exhaust: REACTION - ADD 1. (Abilities that add resources can't be reacted to.)</t>
        </is>
      </c>
    </row>
    <row r="58" ht="15" customHeight="1">
      <c r="A58" s="20" t="inlineStr">
        <is>
          <t>OGN-099</t>
        </is>
      </c>
      <c r="B58" s="20" t="inlineStr"/>
      <c r="C58" s="20" t="inlineStr">
        <is>
          <t>Garbage Grabber</t>
        </is>
      </c>
      <c r="D58" s="20" t="inlineStr">
        <is>
          <t>Mind</t>
        </is>
      </c>
      <c r="E58" s="20" t="inlineStr">
        <is>
          <t>Gear</t>
        </is>
      </c>
      <c r="F58" s="20" t="inlineStr">
        <is>
          <t>2</t>
        </is>
      </c>
      <c r="G58" s="20" t="inlineStr">
        <is>
          <t>0</t>
        </is>
      </c>
      <c r="H58" s="20" t="inlineStr">
        <is>
          <t>Uncommon</t>
        </is>
      </c>
      <c r="I58" s="20" t="inlineStr"/>
      <c r="J58" s="21" t="inlineStr">
        <is>
          <t>Recycle 3 from your trash, 1, Exhaust: Draw 1.</t>
        </is>
      </c>
    </row>
    <row r="59" ht="15" customHeight="1">
      <c r="A59" s="20" t="inlineStr">
        <is>
          <t>OGN-100</t>
        </is>
      </c>
      <c r="B59" s="20" t="inlineStr"/>
      <c r="C59" s="20" t="inlineStr">
        <is>
          <t>Gemcraft Seer</t>
        </is>
      </c>
      <c r="D59" s="20" t="inlineStr">
        <is>
          <t>Mind</t>
        </is>
      </c>
      <c r="E59" s="20" t="inlineStr">
        <is>
          <t>Unit</t>
        </is>
      </c>
      <c r="F59" s="20" t="inlineStr">
        <is>
          <t>3</t>
        </is>
      </c>
      <c r="G59" s="20" t="inlineStr">
        <is>
          <t>3</t>
        </is>
      </c>
      <c r="H59" s="20" t="inlineStr">
        <is>
          <t>Uncommon</t>
        </is>
      </c>
      <c r="I59" s="20" t="inlineStr">
        <is>
          <t>Mount Targon</t>
        </is>
      </c>
      <c r="J59" s="21" t="inlineStr">
        <is>
          <t>VISION (When you play me, look at the top card of your Main Deck. You may recycle it.)
Other friendly units have VISION.</t>
        </is>
      </c>
    </row>
    <row r="60" ht="15" customHeight="1">
      <c r="A60" s="20" t="inlineStr">
        <is>
          <t>OGN-102</t>
        </is>
      </c>
      <c r="B60" s="20" t="inlineStr"/>
      <c r="C60" s="20" t="inlineStr">
        <is>
          <t>Portal Rescue</t>
        </is>
      </c>
      <c r="D60" s="20" t="inlineStr">
        <is>
          <t>Mind</t>
        </is>
      </c>
      <c r="E60" s="20" t="inlineStr">
        <is>
          <t>Spell</t>
        </is>
      </c>
      <c r="F60" s="20" t="inlineStr">
        <is>
          <t>3</t>
        </is>
      </c>
      <c r="G60" s="20" t="inlineStr">
        <is>
          <t>0</t>
        </is>
      </c>
      <c r="H60" s="20" t="inlineStr">
        <is>
          <t>Uncommon</t>
        </is>
      </c>
      <c r="I60" s="20" t="inlineStr"/>
      <c r="J60" s="21" t="inlineStr">
        <is>
          <t>ACTION (Play on your turn or in showdowns.)
Banish a friendly unit, then play it to base, ignoring its cost.</t>
        </is>
      </c>
    </row>
    <row r="61" ht="15" customHeight="1">
      <c r="A61" s="20" t="inlineStr">
        <is>
          <t>OGN-104</t>
        </is>
      </c>
      <c r="B61" s="20" t="inlineStr"/>
      <c r="C61" s="20" t="inlineStr">
        <is>
          <t>Retreat</t>
        </is>
      </c>
      <c r="D61" s="20" t="inlineStr">
        <is>
          <t>Mind</t>
        </is>
      </c>
      <c r="E61" s="20" t="inlineStr">
        <is>
          <t>Spell</t>
        </is>
      </c>
      <c r="F61" s="20" t="inlineStr">
        <is>
          <t>1</t>
        </is>
      </c>
      <c r="G61" s="20" t="inlineStr">
        <is>
          <t>0</t>
        </is>
      </c>
      <c r="H61" s="20" t="inlineStr">
        <is>
          <t>Uncommon</t>
        </is>
      </c>
      <c r="I61" s="20" t="inlineStr"/>
      <c r="J61" s="21" t="inlineStr">
        <is>
          <t>REACTION (Play any time, even before spells and abilities resolve.)Return a friendly unit to its owner's hand. Its owner channels 1 rune exhausted.</t>
        </is>
      </c>
    </row>
    <row r="62" ht="15" customHeight="1">
      <c r="A62" s="20" t="inlineStr">
        <is>
          <t>OGN-107</t>
        </is>
      </c>
      <c r="B62" s="20" t="inlineStr"/>
      <c r="C62" s="20" t="inlineStr">
        <is>
          <t>Ava Achiever</t>
        </is>
      </c>
      <c r="D62" s="20" t="inlineStr">
        <is>
          <t>Mind</t>
        </is>
      </c>
      <c r="E62" s="20" t="inlineStr">
        <is>
          <t>Unit</t>
        </is>
      </c>
      <c r="F62" s="20" t="inlineStr">
        <is>
          <t>5</t>
        </is>
      </c>
      <c r="G62" s="20" t="inlineStr">
        <is>
          <t>4</t>
        </is>
      </c>
      <c r="H62" s="20" t="inlineStr">
        <is>
          <t>Rare</t>
        </is>
      </c>
      <c r="I62" s="20" t="inlineStr">
        <is>
          <t>Bandle City;Yordle</t>
        </is>
      </c>
      <c r="J62" s="21" t="inlineStr">
        <is>
          <t>When I attack, you may pay mind to play a card with HIDDEN from your hand here, ignoring its cost.</t>
        </is>
      </c>
    </row>
    <row r="63" ht="15" customHeight="1">
      <c r="A63" s="20" t="inlineStr">
        <is>
          <t>OGN-108</t>
        </is>
      </c>
      <c r="B63" s="20" t="inlineStr"/>
      <c r="C63" s="20" t="inlineStr">
        <is>
          <t>Convergent Mutation</t>
        </is>
      </c>
      <c r="D63" s="20" t="inlineStr">
        <is>
          <t>Mind</t>
        </is>
      </c>
      <c r="E63" s="20" t="inlineStr">
        <is>
          <t>Spell</t>
        </is>
      </c>
      <c r="F63" s="20" t="inlineStr">
        <is>
          <t>2</t>
        </is>
      </c>
      <c r="G63" s="20" t="inlineStr">
        <is>
          <t>0</t>
        </is>
      </c>
      <c r="H63" s="20" t="inlineStr">
        <is>
          <t>Rare</t>
        </is>
      </c>
      <c r="I63" s="20" t="inlineStr"/>
      <c r="J63" s="21" t="inlineStr">
        <is>
          <t>REACTION (Play any time, even before spells and abilities resolve.)
Choose a friendly unit. Increase its Might until it equals the Might of another friendly unit.</t>
        </is>
      </c>
    </row>
    <row r="64" ht="15" customHeight="1">
      <c r="A64" s="20" t="inlineStr">
        <is>
          <t>OGN-109</t>
        </is>
      </c>
      <c r="B64" s="20" t="inlineStr"/>
      <c r="C64" s="20" t="inlineStr">
        <is>
          <t>Dr. Mundo - Expert</t>
        </is>
      </c>
      <c r="D64" s="20" t="inlineStr">
        <is>
          <t>Mind</t>
        </is>
      </c>
      <c r="E64" s="20" t="inlineStr">
        <is>
          <t>Champion Unit</t>
        </is>
      </c>
      <c r="F64" s="20" t="inlineStr">
        <is>
          <t>8</t>
        </is>
      </c>
      <c r="G64" s="20" t="inlineStr">
        <is>
          <t>6</t>
        </is>
      </c>
      <c r="H64" s="20" t="inlineStr">
        <is>
          <t>Rare</t>
        </is>
      </c>
      <c r="I64" s="20" t="inlineStr">
        <is>
          <t>Dr. Mundo;Zaun</t>
        </is>
      </c>
      <c r="J64" s="21" t="inlineStr">
        <is>
          <t>My Might is increased by the number of cards on your trash.At the start of your Beginning Phase, recycle 3 from your trash.</t>
        </is>
      </c>
    </row>
    <row r="65" ht="15" customHeight="1">
      <c r="A65" s="20" t="inlineStr">
        <is>
          <t>OGN-110</t>
        </is>
      </c>
      <c r="B65" s="20" t="inlineStr"/>
      <c r="C65" s="20" t="inlineStr">
        <is>
          <t>Ekko - Recurrent</t>
        </is>
      </c>
      <c r="D65" s="20" t="inlineStr">
        <is>
          <t>Mind</t>
        </is>
      </c>
      <c r="E65" s="20" t="inlineStr">
        <is>
          <t>Champion Unit</t>
        </is>
      </c>
      <c r="F65" s="20" t="inlineStr">
        <is>
          <t>5</t>
        </is>
      </c>
      <c r="G65" s="20" t="inlineStr">
        <is>
          <t>5</t>
        </is>
      </c>
      <c r="H65" s="20" t="inlineStr">
        <is>
          <t>Rare</t>
        </is>
      </c>
      <c r="I65" s="20" t="inlineStr">
        <is>
          <t>Ekko;Zaun</t>
        </is>
      </c>
      <c r="J65" s="21" t="inlineStr">
        <is>
          <t>ACCELERATE (You may pay 1 mind as an additional cost to have me enter ready.)DEATHKNELL - Recycle me to ready your runes. (When I die, get the effect.)</t>
        </is>
      </c>
    </row>
    <row r="66" ht="15" customHeight="1">
      <c r="A66" s="20" t="inlineStr">
        <is>
          <t>OGN-112</t>
        </is>
      </c>
      <c r="B66" s="20" t="inlineStr"/>
      <c r="C66" s="20" t="inlineStr">
        <is>
          <t>Kai'Sa - Evolutionary</t>
        </is>
      </c>
      <c r="D66" s="20" t="inlineStr">
        <is>
          <t>Mind</t>
        </is>
      </c>
      <c r="E66" s="20" t="inlineStr">
        <is>
          <t>Champion Unit</t>
        </is>
      </c>
      <c r="F66" s="20" t="inlineStr">
        <is>
          <t>6</t>
        </is>
      </c>
      <c r="G66" s="20" t="inlineStr">
        <is>
          <t>6</t>
        </is>
      </c>
      <c r="H66" s="20" t="inlineStr">
        <is>
          <t>Rare</t>
        </is>
      </c>
      <c r="I66" s="20" t="inlineStr">
        <is>
          <t>Kai'Sa;The Void</t>
        </is>
      </c>
      <c r="J66" s="21" t="inlineStr">
        <is>
          <t>GANKING (I can move from battlefield to battlefield.)When I conquer, you may play a spell from your trash with Energy cost less than your points without paying its Energy cost. Then recycle it. (You must still pay its Power cost.)</t>
        </is>
      </c>
    </row>
    <row r="67" ht="15" customHeight="1">
      <c r="A67" s="20" t="inlineStr">
        <is>
          <t>OGN-114</t>
        </is>
      </c>
      <c r="B67" s="20" t="inlineStr"/>
      <c r="C67" s="20" t="inlineStr">
        <is>
          <t>Progress Day</t>
        </is>
      </c>
      <c r="D67" s="20" t="inlineStr">
        <is>
          <t>Mind</t>
        </is>
      </c>
      <c r="E67" s="20" t="inlineStr">
        <is>
          <t>Spell</t>
        </is>
      </c>
      <c r="F67" s="20" t="inlineStr">
        <is>
          <t>6</t>
        </is>
      </c>
      <c r="G67" s="20" t="inlineStr">
        <is>
          <t>0</t>
        </is>
      </c>
      <c r="H67" s="20" t="inlineStr">
        <is>
          <t>Rare</t>
        </is>
      </c>
      <c r="I67" s="20" t="inlineStr"/>
      <c r="J67" s="21" t="inlineStr">
        <is>
          <t>Draw 4.</t>
        </is>
      </c>
    </row>
    <row r="68" ht="15" customHeight="1">
      <c r="A68" s="20" t="inlineStr">
        <is>
          <t>OGN-115</t>
        </is>
      </c>
      <c r="B68" s="20" t="inlineStr"/>
      <c r="C68" s="20" t="inlineStr">
        <is>
          <t>Promising Future</t>
        </is>
      </c>
      <c r="D68" s="20" t="inlineStr">
        <is>
          <t>Mind</t>
        </is>
      </c>
      <c r="E68" s="20" t="inlineStr">
        <is>
          <t>Spell</t>
        </is>
      </c>
      <c r="F68" s="20" t="inlineStr">
        <is>
          <t>5</t>
        </is>
      </c>
      <c r="G68" s="20" t="inlineStr">
        <is>
          <t>0</t>
        </is>
      </c>
      <c r="H68" s="20" t="inlineStr">
        <is>
          <t>Rare</t>
        </is>
      </c>
      <c r="I68" s="20" t="inlineStr"/>
      <c r="J68" s="21" t="inlineStr">
        <is>
          <t>Each player looks at the top 5 cards of their Main Deck, chooses one, then recycles the rest. 
Starting with the next player, each player plays those cards, ignoring Energy costs. (They must still pay Power costs.)</t>
        </is>
      </c>
    </row>
    <row r="69" ht="15" customHeight="1">
      <c r="A69" s="20" t="inlineStr">
        <is>
          <t>OGN-116</t>
        </is>
      </c>
      <c r="B69" s="20" t="inlineStr"/>
      <c r="C69" s="20" t="inlineStr">
        <is>
          <t>Thousand-Tailed Watcher</t>
        </is>
      </c>
      <c r="D69" s="20" t="inlineStr">
        <is>
          <t>Mind</t>
        </is>
      </c>
      <c r="E69" s="20" t="inlineStr">
        <is>
          <t>Unit</t>
        </is>
      </c>
      <c r="F69" s="20" t="inlineStr">
        <is>
          <t>7</t>
        </is>
      </c>
      <c r="G69" s="20" t="inlineStr">
        <is>
          <t>7</t>
        </is>
      </c>
      <c r="H69" s="20" t="inlineStr">
        <is>
          <t>Rare</t>
        </is>
      </c>
      <c r="I69" s="20" t="inlineStr">
        <is>
          <t>Ionia</t>
        </is>
      </c>
      <c r="J69" s="21" t="inlineStr">
        <is>
          <t>ACCELERATE (You may pay 1 mind as an additional cost to have me enter ready.)When you play me, give enemy units -3 Might this turn, to a minimum of 1 Might.</t>
        </is>
      </c>
    </row>
    <row r="70" ht="15" customHeight="1">
      <c r="A70" s="20" t="inlineStr">
        <is>
          <t>OGN-120</t>
        </is>
      </c>
      <c r="B70" s="20" t="inlineStr"/>
      <c r="C70" s="20" t="inlineStr">
        <is>
          <t>Seal of Insight</t>
        </is>
      </c>
      <c r="D70" s="20" t="inlineStr">
        <is>
          <t>Mind</t>
        </is>
      </c>
      <c r="E70" s="20" t="inlineStr">
        <is>
          <t>Gear</t>
        </is>
      </c>
      <c r="F70" s="20" t="inlineStr">
        <is>
          <t>0</t>
        </is>
      </c>
      <c r="G70" s="20" t="inlineStr">
        <is>
          <t>0</t>
        </is>
      </c>
      <c r="H70" s="20" t="inlineStr">
        <is>
          <t>Epic</t>
        </is>
      </c>
      <c r="I70" s="20" t="inlineStr"/>
      <c r="J70" s="21" t="inlineStr">
        <is>
          <t>Exhaust: REACTION - ADD mind. (Abilities that add resources can't be reacted to.)</t>
        </is>
      </c>
    </row>
    <row r="71" ht="15" customHeight="1">
      <c r="A71" s="20" t="inlineStr">
        <is>
          <t>OGN-121</t>
        </is>
      </c>
      <c r="B71" s="20" t="inlineStr"/>
      <c r="C71" s="20" t="inlineStr">
        <is>
          <t>Teemo - Strategist</t>
        </is>
      </c>
      <c r="D71" s="20" t="inlineStr">
        <is>
          <t>Mind</t>
        </is>
      </c>
      <c r="E71" s="20" t="inlineStr">
        <is>
          <t>Champion Unit</t>
        </is>
      </c>
      <c r="F71" s="20" t="inlineStr">
        <is>
          <t>2</t>
        </is>
      </c>
      <c r="G71" s="20" t="inlineStr">
        <is>
          <t>2</t>
        </is>
      </c>
      <c r="H71" s="20" t="inlineStr">
        <is>
          <t>Epic</t>
        </is>
      </c>
      <c r="I71" s="20" t="inlineStr">
        <is>
          <t>Bandle City;Teemo;Yordle</t>
        </is>
      </c>
      <c r="J71" s="21" t="inlineStr">
        <is>
          <t>HIDDEN (Hide now for 1 Rune to react with later for 0.)
When I defend or I'm played from HIDDEN, reveal the top 5 cards of your Main Deck. Deal 1 to an enemy unit here for each card with , then recycle them.</t>
        </is>
      </c>
    </row>
    <row r="72" ht="15" customHeight="1">
      <c r="A72" s="20" t="inlineStr">
        <is>
          <t>OGN-122</t>
        </is>
      </c>
      <c r="B72" s="20" t="inlineStr"/>
      <c r="C72" s="20" t="inlineStr">
        <is>
          <t>Time Warp</t>
        </is>
      </c>
      <c r="D72" s="20" t="inlineStr">
        <is>
          <t>Mind</t>
        </is>
      </c>
      <c r="E72" s="20" t="inlineStr">
        <is>
          <t>Spell</t>
        </is>
      </c>
      <c r="F72" s="20" t="inlineStr">
        <is>
          <t>10</t>
        </is>
      </c>
      <c r="G72" s="20" t="inlineStr">
        <is>
          <t>0</t>
        </is>
      </c>
      <c r="H72" s="20" t="inlineStr">
        <is>
          <t>Epic</t>
        </is>
      </c>
      <c r="I72" s="20" t="inlineStr"/>
      <c r="J72" s="21" t="inlineStr">
        <is>
          <t>Take a turn after this one. Banish this.</t>
        </is>
      </c>
    </row>
    <row r="73" ht="15" customHeight="1">
      <c r="A73" s="20" t="inlineStr">
        <is>
          <t>OGN-123</t>
        </is>
      </c>
      <c r="B73" s="20" t="inlineStr"/>
      <c r="C73" s="20" t="inlineStr">
        <is>
          <t>Unchecked Power</t>
        </is>
      </c>
      <c r="D73" s="20" t="inlineStr">
        <is>
          <t>Mind</t>
        </is>
      </c>
      <c r="E73" s="20" t="inlineStr">
        <is>
          <t>Spell</t>
        </is>
      </c>
      <c r="F73" s="20" t="inlineStr">
        <is>
          <t>7</t>
        </is>
      </c>
      <c r="G73" s="20" t="inlineStr">
        <is>
          <t>0</t>
        </is>
      </c>
      <c r="H73" s="20" t="inlineStr">
        <is>
          <t>Epic</t>
        </is>
      </c>
      <c r="I73" s="20" t="inlineStr"/>
      <c r="J73" s="21" t="inlineStr">
        <is>
          <t>Exhaust all friendly units, then deal 12 to all units at battlefields.</t>
        </is>
      </c>
    </row>
    <row r="74" ht="15" customHeight="1">
      <c r="A74" s="22" t="inlineStr">
        <is>
          <t>OGN-124</t>
        </is>
      </c>
      <c r="B74" s="22" t="inlineStr"/>
      <c r="C74" s="22" t="inlineStr">
        <is>
          <t>Arena Bar</t>
        </is>
      </c>
      <c r="D74" s="22" t="inlineStr">
        <is>
          <t>Body</t>
        </is>
      </c>
      <c r="E74" s="22" t="inlineStr">
        <is>
          <t>Gear</t>
        </is>
      </c>
      <c r="F74" s="22" t="inlineStr">
        <is>
          <t>3</t>
        </is>
      </c>
      <c r="G74" s="22" t="inlineStr">
        <is>
          <t>0</t>
        </is>
      </c>
      <c r="H74" s="22" t="inlineStr">
        <is>
          <t>Common</t>
        </is>
      </c>
      <c r="I74" s="22" t="inlineStr"/>
      <c r="J74" s="23" t="inlineStr">
        <is>
          <t>Exhaust: Buff an exhausted friendly unit. (If it doesn't have a buff, it gets a +1 Might buff.)</t>
        </is>
      </c>
    </row>
    <row r="75" ht="15" customHeight="1">
      <c r="A75" s="22" t="inlineStr">
        <is>
          <t>OGN-126</t>
        </is>
      </c>
      <c r="B75" s="22" t="inlineStr"/>
      <c r="C75" s="22" t="inlineStr">
        <is>
          <t>Body Rune</t>
        </is>
      </c>
      <c r="D75" s="22" t="inlineStr">
        <is>
          <t>Body</t>
        </is>
      </c>
      <c r="E75" s="22" t="inlineStr">
        <is>
          <t>Rune</t>
        </is>
      </c>
      <c r="F75" s="22" t="inlineStr">
        <is>
          <t>0</t>
        </is>
      </c>
      <c r="G75" s="22" t="inlineStr">
        <is>
          <t>0</t>
        </is>
      </c>
      <c r="H75" s="22" t="inlineStr">
        <is>
          <t>Common</t>
        </is>
      </c>
      <c r="I75" s="22" t="inlineStr"/>
      <c r="J75" s="23" t="inlineStr"/>
    </row>
    <row r="76" ht="15" customHeight="1">
      <c r="A76" s="22" t="inlineStr">
        <is>
          <t>OGN-127</t>
        </is>
      </c>
      <c r="B76" s="22" t="inlineStr"/>
      <c r="C76" s="22" t="inlineStr">
        <is>
          <t>Cannon Barrage</t>
        </is>
      </c>
      <c r="D76" s="22" t="inlineStr">
        <is>
          <t>Body</t>
        </is>
      </c>
      <c r="E76" s="22" t="inlineStr">
        <is>
          <t>Spell</t>
        </is>
      </c>
      <c r="F76" s="22" t="inlineStr">
        <is>
          <t>2</t>
        </is>
      </c>
      <c r="G76" s="22" t="inlineStr">
        <is>
          <t>0</t>
        </is>
      </c>
      <c r="H76" s="22" t="inlineStr">
        <is>
          <t>Common</t>
        </is>
      </c>
      <c r="I76" s="22" t="inlineStr"/>
      <c r="J76" s="23" t="inlineStr">
        <is>
          <t>REACTION (Play any time, even before spells and abilities resolve.)
Deal 2 to all enemy units in combat.</t>
        </is>
      </c>
    </row>
    <row r="77" ht="15" customHeight="1">
      <c r="A77" s="22" t="inlineStr">
        <is>
          <t>OGN-130</t>
        </is>
      </c>
      <c r="B77" s="22" t="inlineStr"/>
      <c r="C77" s="22" t="inlineStr">
        <is>
          <t>Crackshot Corsair</t>
        </is>
      </c>
      <c r="D77" s="22" t="inlineStr">
        <is>
          <t>Body</t>
        </is>
      </c>
      <c r="E77" s="22" t="inlineStr">
        <is>
          <t>Unit</t>
        </is>
      </c>
      <c r="F77" s="22" t="inlineStr">
        <is>
          <t>3</t>
        </is>
      </c>
      <c r="G77" s="22" t="inlineStr">
        <is>
          <t>3</t>
        </is>
      </c>
      <c r="H77" s="22" t="inlineStr">
        <is>
          <t>Common</t>
        </is>
      </c>
      <c r="I77" s="22" t="inlineStr">
        <is>
          <t>Bilgewater;Pirate</t>
        </is>
      </c>
      <c r="J77" s="23" t="inlineStr">
        <is>
          <t>When I attack, deal 1 to an enemy unit here.</t>
        </is>
      </c>
    </row>
    <row r="78" ht="15" customHeight="1">
      <c r="A78" s="22" t="inlineStr">
        <is>
          <t>OGN-133</t>
        </is>
      </c>
      <c r="B78" s="22" t="inlineStr"/>
      <c r="C78" s="22" t="inlineStr">
        <is>
          <t>Flurry of Blades</t>
        </is>
      </c>
      <c r="D78" s="22" t="inlineStr">
        <is>
          <t>Body</t>
        </is>
      </c>
      <c r="E78" s="22" t="inlineStr">
        <is>
          <t>Spell</t>
        </is>
      </c>
      <c r="F78" s="22" t="inlineStr">
        <is>
          <t>1</t>
        </is>
      </c>
      <c r="G78" s="22" t="inlineStr">
        <is>
          <t>0</t>
        </is>
      </c>
      <c r="H78" s="22" t="inlineStr">
        <is>
          <t>Common</t>
        </is>
      </c>
      <c r="I78" s="22" t="inlineStr"/>
      <c r="J78" s="23" t="inlineStr">
        <is>
          <t>REACTION (Play any time, even before spells and abilities resolve.)Deal 1 to all units at battlefields.</t>
        </is>
      </c>
    </row>
    <row r="79" ht="15" customHeight="1">
      <c r="A79" s="22" t="inlineStr">
        <is>
          <t>OGN-139</t>
        </is>
      </c>
      <c r="B79" s="22" t="inlineStr"/>
      <c r="C79" s="22" t="inlineStr">
        <is>
          <t>Cithria of Cloudfield</t>
        </is>
      </c>
      <c r="D79" s="22" t="inlineStr">
        <is>
          <t>Body</t>
        </is>
      </c>
      <c r="E79" s="22" t="inlineStr">
        <is>
          <t>Unit</t>
        </is>
      </c>
      <c r="F79" s="22" t="inlineStr">
        <is>
          <t>2</t>
        </is>
      </c>
      <c r="G79" s="22" t="inlineStr">
        <is>
          <t>1</t>
        </is>
      </c>
      <c r="H79" s="22" t="inlineStr">
        <is>
          <t>Uncommon</t>
        </is>
      </c>
      <c r="I79" s="22" t="inlineStr">
        <is>
          <t>Demacia;Elite</t>
        </is>
      </c>
      <c r="J79" s="23" t="inlineStr">
        <is>
          <t>When you play another unit, buff me. (If I don't have a buff, I get a +1 Might buff.)</t>
        </is>
      </c>
    </row>
    <row r="80" ht="15" customHeight="1">
      <c r="A80" s="22" t="inlineStr">
        <is>
          <t>OGN-141</t>
        </is>
      </c>
      <c r="B80" s="22" t="inlineStr"/>
      <c r="C80" s="22" t="inlineStr">
        <is>
          <t>Kinkou Monk</t>
        </is>
      </c>
      <c r="D80" s="22" t="inlineStr">
        <is>
          <t>Body</t>
        </is>
      </c>
      <c r="E80" s="22" t="inlineStr">
        <is>
          <t>Unit</t>
        </is>
      </c>
      <c r="F80" s="22" t="inlineStr">
        <is>
          <t>4</t>
        </is>
      </c>
      <c r="G80" s="22" t="inlineStr">
        <is>
          <t>4</t>
        </is>
      </c>
      <c r="H80" s="22" t="inlineStr">
        <is>
          <t>Uncommon</t>
        </is>
      </c>
      <c r="I80" s="22" t="inlineStr">
        <is>
          <t>Ionia</t>
        </is>
      </c>
      <c r="J80" s="23" t="inlineStr">
        <is>
          <t>When you play me, buff two other friendly units. (Each one that doesn't have a buff gets a +1 Might buff.)</t>
        </is>
      </c>
    </row>
    <row r="81" ht="15" customHeight="1">
      <c r="A81" s="22" t="inlineStr">
        <is>
          <t>OGN-143</t>
        </is>
      </c>
      <c r="B81" s="22" t="inlineStr"/>
      <c r="C81" s="22" t="inlineStr">
        <is>
          <t>Pirate's Haven</t>
        </is>
      </c>
      <c r="D81" s="22" t="inlineStr">
        <is>
          <t>Body</t>
        </is>
      </c>
      <c r="E81" s="22" t="inlineStr">
        <is>
          <t>Gear</t>
        </is>
      </c>
      <c r="F81" s="22" t="inlineStr">
        <is>
          <t>3</t>
        </is>
      </c>
      <c r="G81" s="22" t="inlineStr">
        <is>
          <t>0</t>
        </is>
      </c>
      <c r="H81" s="22" t="inlineStr">
        <is>
          <t>Uncommon</t>
        </is>
      </c>
      <c r="I81" s="22" t="inlineStr"/>
      <c r="J81" s="23" t="inlineStr">
        <is>
          <t>When you ready a friendly unit, give it +1 Might this turn.</t>
        </is>
      </c>
    </row>
    <row r="82" ht="15" customHeight="1">
      <c r="A82" s="22" t="inlineStr">
        <is>
          <t>OGN-150</t>
        </is>
      </c>
      <c r="B82" s="22" t="inlineStr"/>
      <c r="C82" s="22" t="inlineStr">
        <is>
          <t>Kraken Hunter</t>
        </is>
      </c>
      <c r="D82" s="22" t="inlineStr">
        <is>
          <t>Body</t>
        </is>
      </c>
      <c r="E82" s="22" t="inlineStr">
        <is>
          <t>Unit</t>
        </is>
      </c>
      <c r="F82" s="22" t="inlineStr">
        <is>
          <t>3</t>
        </is>
      </c>
      <c r="G82" s="22" t="inlineStr">
        <is>
          <t>5</t>
        </is>
      </c>
      <c r="H82" s="22" t="inlineStr">
        <is>
          <t>Rare</t>
        </is>
      </c>
      <c r="I82" s="22" t="inlineStr">
        <is>
          <t>Bilgewater;Pirate</t>
        </is>
      </c>
      <c r="J82" s="23" t="inlineStr">
        <is>
          <t>ACCELERATE (You may pay 1 body as an additional cost to have me enter ready.)
ASSAULT (+1 Might while i'm an attacker.)
As you play me, you may spend any number of buffs as an additional cost. Reduce my cost by body for each buff you spend.</t>
        </is>
      </c>
    </row>
    <row r="83" ht="15" customHeight="1">
      <c r="A83" s="22" t="inlineStr">
        <is>
          <t>OGN-155</t>
        </is>
      </c>
      <c r="B83" s="22" t="inlineStr"/>
      <c r="C83" s="22" t="inlineStr">
        <is>
          <t>Qiyana - Victorious</t>
        </is>
      </c>
      <c r="D83" s="22" t="inlineStr">
        <is>
          <t>Body</t>
        </is>
      </c>
      <c r="E83" s="22" t="inlineStr">
        <is>
          <t>Champion Unit</t>
        </is>
      </c>
      <c r="F83" s="22" t="inlineStr">
        <is>
          <t>4</t>
        </is>
      </c>
      <c r="G83" s="22" t="inlineStr">
        <is>
          <t>4</t>
        </is>
      </c>
      <c r="H83" s="22" t="inlineStr">
        <is>
          <t>Rare</t>
        </is>
      </c>
      <c r="I83" s="22" t="inlineStr">
        <is>
          <t>Ixtal;Qiyana</t>
        </is>
      </c>
      <c r="J83" s="23" t="inlineStr">
        <is>
          <t>DEFLECT (Opponents must pay 1 Rune to choose me with a spell or ability.)When I conquer, draw 1 or channel 1 Rune exhausted.</t>
        </is>
      </c>
    </row>
    <row r="84" ht="15" customHeight="1">
      <c r="A84" s="22" t="inlineStr">
        <is>
          <t>OGN-156</t>
        </is>
      </c>
      <c r="B84" s="22" t="inlineStr"/>
      <c r="C84" s="22" t="inlineStr">
        <is>
          <t>Sabotage</t>
        </is>
      </c>
      <c r="D84" s="22" t="inlineStr">
        <is>
          <t>Body</t>
        </is>
      </c>
      <c r="E84" s="22" t="inlineStr">
        <is>
          <t>Spell</t>
        </is>
      </c>
      <c r="F84" s="22" t="inlineStr">
        <is>
          <t>1</t>
        </is>
      </c>
      <c r="G84" s="22" t="inlineStr">
        <is>
          <t>0</t>
        </is>
      </c>
      <c r="H84" s="22" t="inlineStr">
        <is>
          <t>Rare</t>
        </is>
      </c>
      <c r="I84" s="22" t="inlineStr"/>
      <c r="J84" s="23" t="inlineStr">
        <is>
          <t>Choose an opponent. They reveal their hand. Choose a non-unit card from it, and recycle that card.</t>
        </is>
      </c>
    </row>
    <row r="85" ht="15" customHeight="1">
      <c r="A85" s="22" t="inlineStr">
        <is>
          <t>OGN-159</t>
        </is>
      </c>
      <c r="B85" s="22" t="inlineStr"/>
      <c r="C85" s="22" t="inlineStr">
        <is>
          <t>Warwick - Hunter</t>
        </is>
      </c>
      <c r="D85" s="22" t="inlineStr">
        <is>
          <t>Body</t>
        </is>
      </c>
      <c r="E85" s="22" t="inlineStr">
        <is>
          <t>Champion Unit</t>
        </is>
      </c>
      <c r="F85" s="22" t="inlineStr">
        <is>
          <t>6</t>
        </is>
      </c>
      <c r="G85" s="22" t="inlineStr">
        <is>
          <t>5</t>
        </is>
      </c>
      <c r="H85" s="22" t="inlineStr">
        <is>
          <t>Rare</t>
        </is>
      </c>
      <c r="I85" s="22" t="inlineStr">
        <is>
          <t>Dog;Warwick;Zaun</t>
        </is>
      </c>
      <c r="J85" s="23" t="inlineStr">
        <is>
          <t>I enter ready.When I attack, kill all damaged enemy units here.</t>
        </is>
      </c>
    </row>
    <row r="86" ht="15" customHeight="1">
      <c r="A86" s="22" t="inlineStr">
        <is>
          <t>OGN-160</t>
        </is>
      </c>
      <c r="B86" s="22" t="inlineStr"/>
      <c r="C86" s="22" t="inlineStr">
        <is>
          <t>Dazzling Aurora</t>
        </is>
      </c>
      <c r="D86" s="22" t="inlineStr">
        <is>
          <t>Body</t>
        </is>
      </c>
      <c r="E86" s="22" t="inlineStr">
        <is>
          <t>Gear</t>
        </is>
      </c>
      <c r="F86" s="22" t="inlineStr">
        <is>
          <t>9</t>
        </is>
      </c>
      <c r="G86" s="22" t="inlineStr">
        <is>
          <t>0</t>
        </is>
      </c>
      <c r="H86" s="22" t="inlineStr">
        <is>
          <t>Epic</t>
        </is>
      </c>
      <c r="I86" s="22" t="inlineStr"/>
      <c r="J86" s="23" t="inlineStr">
        <is>
          <t>At the end of your turn, reveal cards from the top of your Main Deck until you reveal a unit. Play it, ignoring its cost, and recycle the rest.</t>
        </is>
      </c>
    </row>
    <row r="87" ht="15" customHeight="1">
      <c r="A87" s="22" t="inlineStr">
        <is>
          <t>OGN-161</t>
        </is>
      </c>
      <c r="B87" s="22" t="inlineStr"/>
      <c r="C87" s="22" t="inlineStr">
        <is>
          <t>Deadbloom Predator</t>
        </is>
      </c>
      <c r="D87" s="22" t="inlineStr">
        <is>
          <t>Body</t>
        </is>
      </c>
      <c r="E87" s="22" t="inlineStr">
        <is>
          <t>Unit</t>
        </is>
      </c>
      <c r="F87" s="22" t="inlineStr">
        <is>
          <t>8</t>
        </is>
      </c>
      <c r="G87" s="22" t="inlineStr">
        <is>
          <t>8</t>
        </is>
      </c>
      <c r="H87" s="22" t="inlineStr">
        <is>
          <t>Epic</t>
        </is>
      </c>
      <c r="I87" s="22" t="inlineStr">
        <is>
          <t>Shadow Isles</t>
        </is>
      </c>
      <c r="J87" s="23" t="inlineStr">
        <is>
          <t>DEFLECT (Opponents must play rune to choose me with a spell or effect.)You may play me to an occupied enemy battlefield.</t>
        </is>
      </c>
    </row>
    <row r="88" ht="15" customHeight="1">
      <c r="A88" s="22" t="inlineStr">
        <is>
          <t>OGN-162</t>
        </is>
      </c>
      <c r="B88" s="22" t="inlineStr"/>
      <c r="C88" s="22" t="inlineStr">
        <is>
          <t>Miss Fortune - Captain</t>
        </is>
      </c>
      <c r="D88" s="22" t="inlineStr">
        <is>
          <t>Body</t>
        </is>
      </c>
      <c r="E88" s="22" t="inlineStr">
        <is>
          <t>Champion Unit</t>
        </is>
      </c>
      <c r="F88" s="22" t="inlineStr">
        <is>
          <t>5</t>
        </is>
      </c>
      <c r="G88" s="22" t="inlineStr">
        <is>
          <t>5</t>
        </is>
      </c>
      <c r="H88" s="22" t="inlineStr">
        <is>
          <t>Epic</t>
        </is>
      </c>
      <c r="I88" s="22" t="inlineStr">
        <is>
          <t>Bilgewater;Miss Fortune;Pirate</t>
        </is>
      </c>
      <c r="J88" s="23" t="inlineStr">
        <is>
          <t>ACCELERATE (You may pay 1 body as an additional cost to have me enter ready.)
GANKING (I can move from battlefield to battlefield.)
The first time I move each turn, you may ready something else that's exhausted.</t>
        </is>
      </c>
    </row>
    <row r="89" ht="15" customHeight="1">
      <c r="A89" s="22" t="inlineStr">
        <is>
          <t>OGN-163</t>
        </is>
      </c>
      <c r="B89" s="22" t="inlineStr"/>
      <c r="C89" s="22" t="inlineStr">
        <is>
          <t>Seal of Strength</t>
        </is>
      </c>
      <c r="D89" s="22" t="inlineStr">
        <is>
          <t>Body</t>
        </is>
      </c>
      <c r="E89" s="22" t="inlineStr">
        <is>
          <t>Gear</t>
        </is>
      </c>
      <c r="F89" s="22" t="inlineStr">
        <is>
          <t>0</t>
        </is>
      </c>
      <c r="G89" s="22" t="inlineStr">
        <is>
          <t>0</t>
        </is>
      </c>
      <c r="H89" s="22" t="inlineStr">
        <is>
          <t>Epic</t>
        </is>
      </c>
      <c r="I89" s="22" t="inlineStr"/>
      <c r="J89" s="23" t="inlineStr">
        <is>
          <t>Exhaust: REACTION - ADD body. (Abilities that add resources can't be reacted to.)</t>
        </is>
      </c>
    </row>
    <row r="90" ht="15" customHeight="1">
      <c r="A90" s="22" t="inlineStr">
        <is>
          <t>OGN-164</t>
        </is>
      </c>
      <c r="B90" s="22" t="inlineStr"/>
      <c r="C90" s="22" t="inlineStr">
        <is>
          <t>Sett - Brawler</t>
        </is>
      </c>
      <c r="D90" s="22" t="inlineStr">
        <is>
          <t>Body</t>
        </is>
      </c>
      <c r="E90" s="22" t="inlineStr">
        <is>
          <t>Champion Unit</t>
        </is>
      </c>
      <c r="F90" s="22" t="inlineStr">
        <is>
          <t>5</t>
        </is>
      </c>
      <c r="G90" s="22" t="inlineStr">
        <is>
          <t>4</t>
        </is>
      </c>
      <c r="H90" s="22" t="inlineStr">
        <is>
          <t>Epic</t>
        </is>
      </c>
      <c r="I90" s="22" t="inlineStr">
        <is>
          <t>Ionia;Sett</t>
        </is>
      </c>
      <c r="J90" s="23" t="inlineStr">
        <is>
          <t>When I'm played and when I conquer, buff me. (If I don't have a buff, I get a +1 Might buff.)
Spend my buff: Give me +4 Might this turn.</t>
        </is>
      </c>
    </row>
    <row r="91" ht="15" customHeight="1">
      <c r="A91" s="24" t="inlineStr">
        <is>
          <t>OGN-166</t>
        </is>
      </c>
      <c r="B91" s="24" t="inlineStr"/>
      <c r="C91" s="24" t="inlineStr">
        <is>
          <t>Chaos Rune</t>
        </is>
      </c>
      <c r="D91" s="24" t="inlineStr">
        <is>
          <t>Chaos</t>
        </is>
      </c>
      <c r="E91" s="24" t="inlineStr">
        <is>
          <t>Rune</t>
        </is>
      </c>
      <c r="F91" s="24" t="inlineStr">
        <is>
          <t>0</t>
        </is>
      </c>
      <c r="G91" s="24" t="inlineStr">
        <is>
          <t>0</t>
        </is>
      </c>
      <c r="H91" s="24" t="inlineStr">
        <is>
          <t>Common</t>
        </is>
      </c>
      <c r="I91" s="24" t="inlineStr"/>
      <c r="J91" s="25" t="inlineStr"/>
    </row>
    <row r="92" ht="15" customHeight="1">
      <c r="A92" s="24" t="inlineStr">
        <is>
          <t>OGN-170</t>
        </is>
      </c>
      <c r="B92" s="24" t="inlineStr"/>
      <c r="C92" s="24" t="inlineStr">
        <is>
          <t>Morbid Return</t>
        </is>
      </c>
      <c r="D92" s="24" t="inlineStr">
        <is>
          <t>Chaos</t>
        </is>
      </c>
      <c r="E92" s="24" t="inlineStr">
        <is>
          <t>Spell</t>
        </is>
      </c>
      <c r="F92" s="24" t="inlineStr">
        <is>
          <t>2</t>
        </is>
      </c>
      <c r="G92" s="24" t="inlineStr">
        <is>
          <t>0</t>
        </is>
      </c>
      <c r="H92" s="24" t="inlineStr">
        <is>
          <t>Common</t>
        </is>
      </c>
      <c r="I92" s="24" t="inlineStr"/>
      <c r="J92" s="25" t="inlineStr">
        <is>
          <t>ACTION (Play on your turn or in showdowns.)
Return a unit from your trash to your hand.</t>
        </is>
      </c>
    </row>
    <row r="93" ht="15" customHeight="1">
      <c r="A93" s="24" t="inlineStr">
        <is>
          <t>OGN-171</t>
        </is>
      </c>
      <c r="B93" s="24" t="inlineStr"/>
      <c r="C93" s="24" t="inlineStr">
        <is>
          <t>Mystic Poro</t>
        </is>
      </c>
      <c r="D93" s="24" t="inlineStr">
        <is>
          <t>Chaos</t>
        </is>
      </c>
      <c r="E93" s="24" t="inlineStr">
        <is>
          <t>Unit</t>
        </is>
      </c>
      <c r="F93" s="24" t="inlineStr">
        <is>
          <t>2</t>
        </is>
      </c>
      <c r="G93" s="24" t="inlineStr">
        <is>
          <t>2</t>
        </is>
      </c>
      <c r="H93" s="24" t="inlineStr">
        <is>
          <t>Common</t>
        </is>
      </c>
      <c r="I93" s="24" t="inlineStr">
        <is>
          <t>Poro</t>
        </is>
      </c>
      <c r="J93" s="25" t="inlineStr">
        <is>
          <t>VISION (When you play me, look at the top card of your Main Deck. You may recycle it.)</t>
        </is>
      </c>
    </row>
    <row r="94" ht="15" customHeight="1">
      <c r="A94" s="24" t="inlineStr">
        <is>
          <t>OGN-172</t>
        </is>
      </c>
      <c r="B94" s="24" t="inlineStr"/>
      <c r="C94" s="24" t="inlineStr">
        <is>
          <t>Rebuke</t>
        </is>
      </c>
      <c r="D94" s="24" t="inlineStr">
        <is>
          <t>Chaos</t>
        </is>
      </c>
      <c r="E94" s="24" t="inlineStr">
        <is>
          <t>Spell</t>
        </is>
      </c>
      <c r="F94" s="24" t="inlineStr">
        <is>
          <t>2</t>
        </is>
      </c>
      <c r="G94" s="24" t="inlineStr">
        <is>
          <t>0</t>
        </is>
      </c>
      <c r="H94" s="24" t="inlineStr">
        <is>
          <t>Common</t>
        </is>
      </c>
      <c r="I94" s="24" t="inlineStr"/>
      <c r="J94" s="25" t="inlineStr">
        <is>
          <t>ACTION (Play on your turn or in showdowns.)
Return a unit at a battlefield to its owner's hand.</t>
        </is>
      </c>
    </row>
    <row r="95" ht="15" customHeight="1">
      <c r="A95" s="24" t="inlineStr">
        <is>
          <t>OGN-173</t>
        </is>
      </c>
      <c r="B95" s="24" t="inlineStr"/>
      <c r="C95" s="24" t="inlineStr">
        <is>
          <t>Ride The Wind</t>
        </is>
      </c>
      <c r="D95" s="24" t="inlineStr">
        <is>
          <t>Chaos</t>
        </is>
      </c>
      <c r="E95" s="24" t="inlineStr">
        <is>
          <t>Spell</t>
        </is>
      </c>
      <c r="F95" s="24" t="inlineStr">
        <is>
          <t>2</t>
        </is>
      </c>
      <c r="G95" s="24" t="inlineStr">
        <is>
          <t>0</t>
        </is>
      </c>
      <c r="H95" s="24" t="inlineStr">
        <is>
          <t>Common</t>
        </is>
      </c>
      <c r="I95" s="24" t="inlineStr"/>
      <c r="J95" s="25" t="inlineStr">
        <is>
          <t>ACTION (Play on your turn or in showdowns.)Move a friendly unit and ready it.</t>
        </is>
      </c>
    </row>
    <row r="96" ht="15" customHeight="1">
      <c r="A96" s="24" t="inlineStr">
        <is>
          <t>OGN-174</t>
        </is>
      </c>
      <c r="B96" s="24" t="inlineStr"/>
      <c r="C96" s="24" t="inlineStr">
        <is>
          <t>Sai Scout</t>
        </is>
      </c>
      <c r="D96" s="24" t="inlineStr">
        <is>
          <t>Chaos</t>
        </is>
      </c>
      <c r="E96" s="24" t="inlineStr">
        <is>
          <t>Unit</t>
        </is>
      </c>
      <c r="F96" s="24" t="inlineStr">
        <is>
          <t>6</t>
        </is>
      </c>
      <c r="G96" s="24" t="inlineStr">
        <is>
          <t>5</t>
        </is>
      </c>
      <c r="H96" s="24" t="inlineStr">
        <is>
          <t>Common</t>
        </is>
      </c>
      <c r="I96" s="24" t="inlineStr">
        <is>
          <t>Shurima</t>
        </is>
      </c>
      <c r="J96" s="25" t="inlineStr">
        <is>
          <t>VISION (When you play me, look at the top card of your Main Deck. You may recycle it.)
You may play me to an open battlefield.</t>
        </is>
      </c>
    </row>
    <row r="97" ht="15" customHeight="1">
      <c r="A97" s="24" t="inlineStr">
        <is>
          <t>OGN-177</t>
        </is>
      </c>
      <c r="B97" s="24" t="inlineStr"/>
      <c r="C97" s="24" t="inlineStr">
        <is>
          <t>Stealthy Pursuer</t>
        </is>
      </c>
      <c r="D97" s="24" t="inlineStr">
        <is>
          <t>Chaos</t>
        </is>
      </c>
      <c r="E97" s="24" t="inlineStr">
        <is>
          <t>Unit</t>
        </is>
      </c>
      <c r="F97" s="24" t="inlineStr">
        <is>
          <t>4</t>
        </is>
      </c>
      <c r="G97" s="24" t="inlineStr">
        <is>
          <t>4</t>
        </is>
      </c>
      <c r="H97" s="24" t="inlineStr">
        <is>
          <t>Common</t>
        </is>
      </c>
      <c r="I97" s="24" t="inlineStr">
        <is>
          <t>Shurima</t>
        </is>
      </c>
      <c r="J97" s="25" t="inlineStr">
        <is>
          <t>When a friendly unit moves from my location, I may be moved with it.</t>
        </is>
      </c>
    </row>
    <row r="98" ht="15" customHeight="1">
      <c r="A98" s="24" t="inlineStr">
        <is>
          <t>OGN-179</t>
        </is>
      </c>
      <c r="B98" s="24" t="inlineStr"/>
      <c r="C98" s="24" t="inlineStr">
        <is>
          <t>Acceptable Losses</t>
        </is>
      </c>
      <c r="D98" s="24" t="inlineStr">
        <is>
          <t>Chaos</t>
        </is>
      </c>
      <c r="E98" s="24" t="inlineStr">
        <is>
          <t>Spell</t>
        </is>
      </c>
      <c r="F98" s="24" t="inlineStr">
        <is>
          <t>1</t>
        </is>
      </c>
      <c r="G98" s="24" t="inlineStr">
        <is>
          <t>0</t>
        </is>
      </c>
      <c r="H98" s="24" t="inlineStr">
        <is>
          <t>Uncommon</t>
        </is>
      </c>
      <c r="I98" s="24" t="inlineStr"/>
      <c r="J98" s="25" t="inlineStr">
        <is>
          <t>ACTION (Play on your turn or in showdowns.)
Each player kills one of their gear.</t>
        </is>
      </c>
    </row>
    <row r="99" ht="15" customHeight="1">
      <c r="A99" s="24" t="inlineStr">
        <is>
          <t>OGN-181</t>
        </is>
      </c>
      <c r="B99" s="24" t="inlineStr"/>
      <c r="C99" s="24" t="inlineStr">
        <is>
          <t>Pack of Wonders</t>
        </is>
      </c>
      <c r="D99" s="24" t="inlineStr">
        <is>
          <t>Chaos</t>
        </is>
      </c>
      <c r="E99" s="24" t="inlineStr">
        <is>
          <t>Gear</t>
        </is>
      </c>
      <c r="F99" s="24" t="inlineStr">
        <is>
          <t>2</t>
        </is>
      </c>
      <c r="G99" s="24" t="inlineStr">
        <is>
          <t>0</t>
        </is>
      </c>
      <c r="H99" s="24" t="inlineStr">
        <is>
          <t>Uncommon</t>
        </is>
      </c>
      <c r="I99" s="24" t="inlineStr"/>
      <c r="J99" s="25" t="inlineStr">
        <is>
          <t>Exhaust: Return another friendly gear, unit, or HIDDEN card to its owner's hand.</t>
        </is>
      </c>
    </row>
    <row r="100" ht="15" customHeight="1">
      <c r="A100" s="24" t="inlineStr">
        <is>
          <t>OGN-184</t>
        </is>
      </c>
      <c r="B100" s="24" t="inlineStr"/>
      <c r="C100" s="24" t="inlineStr">
        <is>
          <t>The Syren</t>
        </is>
      </c>
      <c r="D100" s="24" t="inlineStr">
        <is>
          <t>Chaos</t>
        </is>
      </c>
      <c r="E100" s="24" t="inlineStr">
        <is>
          <t>Gear</t>
        </is>
      </c>
      <c r="F100" s="24" t="inlineStr">
        <is>
          <t>2</t>
        </is>
      </c>
      <c r="G100" s="24" t="inlineStr">
        <is>
          <t>0</t>
        </is>
      </c>
      <c r="H100" s="24" t="inlineStr">
        <is>
          <t>Uncommon</t>
        </is>
      </c>
      <c r="I100" s="24" t="inlineStr"/>
      <c r="J100" s="25" t="inlineStr">
        <is>
          <t>1, Exhaust: Move a friendly unit at a battlefield to your base.</t>
        </is>
      </c>
    </row>
    <row r="101" ht="15" customHeight="1">
      <c r="A101" s="24" t="inlineStr">
        <is>
          <t>OGN-186</t>
        </is>
      </c>
      <c r="B101" s="24" t="inlineStr"/>
      <c r="C101" s="24" t="inlineStr">
        <is>
          <t>Treasure Trove</t>
        </is>
      </c>
      <c r="D101" s="24" t="inlineStr">
        <is>
          <t>Chaos</t>
        </is>
      </c>
      <c r="E101" s="24" t="inlineStr">
        <is>
          <t>Gear</t>
        </is>
      </c>
      <c r="F101" s="24" t="inlineStr">
        <is>
          <t>2</t>
        </is>
      </c>
      <c r="G101" s="24" t="inlineStr">
        <is>
          <t>0</t>
        </is>
      </c>
      <c r="H101" s="24" t="inlineStr">
        <is>
          <t>Uncommon</t>
        </is>
      </c>
      <c r="I101" s="24" t="inlineStr"/>
      <c r="J101" s="25" t="inlineStr">
        <is>
          <t>When this leaves the board, draw 1 and channel 1 rune exhausted.</t>
        </is>
      </c>
    </row>
    <row r="102" ht="15" customHeight="1">
      <c r="A102" s="24" t="inlineStr">
        <is>
          <t>OGN-187</t>
        </is>
      </c>
      <c r="B102" s="24" t="inlineStr"/>
      <c r="C102" s="24" t="inlineStr">
        <is>
          <t>Whirlwind</t>
        </is>
      </c>
      <c r="D102" s="24" t="inlineStr">
        <is>
          <t>Chaos</t>
        </is>
      </c>
      <c r="E102" s="24" t="inlineStr">
        <is>
          <t>Spell</t>
        </is>
      </c>
      <c r="F102" s="24" t="inlineStr">
        <is>
          <t>4</t>
        </is>
      </c>
      <c r="G102" s="24" t="inlineStr">
        <is>
          <t>0</t>
        </is>
      </c>
      <c r="H102" s="24" t="inlineStr">
        <is>
          <t>Uncommon</t>
        </is>
      </c>
      <c r="I102" s="24" t="inlineStr"/>
      <c r="J102" s="25" t="inlineStr">
        <is>
          <t>Starting with the next player, each player may return a unit to its owner's hand.</t>
        </is>
      </c>
    </row>
    <row r="103" ht="15" customHeight="1">
      <c r="A103" s="24" t="inlineStr">
        <is>
          <t>OGN-188</t>
        </is>
      </c>
      <c r="B103" s="24" t="inlineStr"/>
      <c r="C103" s="24" t="inlineStr">
        <is>
          <t>Zaunite Bouncer</t>
        </is>
      </c>
      <c r="D103" s="24" t="inlineStr">
        <is>
          <t>Chaos</t>
        </is>
      </c>
      <c r="E103" s="24" t="inlineStr">
        <is>
          <t>Unit</t>
        </is>
      </c>
      <c r="F103" s="24" t="inlineStr">
        <is>
          <t>4</t>
        </is>
      </c>
      <c r="G103" s="24" t="inlineStr">
        <is>
          <t>2</t>
        </is>
      </c>
      <c r="H103" s="24" t="inlineStr">
        <is>
          <t>Uncommon</t>
        </is>
      </c>
      <c r="I103" s="24" t="inlineStr">
        <is>
          <t>Zaun</t>
        </is>
      </c>
      <c r="J103" s="25" t="inlineStr">
        <is>
          <t>When you play me, return another unit at a battlefield to its owner's hand.</t>
        </is>
      </c>
    </row>
    <row r="104" ht="15" customHeight="1">
      <c r="A104" s="24" t="inlineStr">
        <is>
          <t>OGN-189</t>
        </is>
      </c>
      <c r="B104" s="24" t="inlineStr"/>
      <c r="C104" s="24" t="inlineStr">
        <is>
          <t>Kayn - Unleashed</t>
        </is>
      </c>
      <c r="D104" s="24" t="inlineStr">
        <is>
          <t>Chaos</t>
        </is>
      </c>
      <c r="E104" s="24" t="inlineStr">
        <is>
          <t>Champion Unit</t>
        </is>
      </c>
      <c r="F104" s="24" t="inlineStr">
        <is>
          <t>6</t>
        </is>
      </c>
      <c r="G104" s="24" t="inlineStr">
        <is>
          <t>6</t>
        </is>
      </c>
      <c r="H104" s="24" t="inlineStr">
        <is>
          <t>Rare</t>
        </is>
      </c>
      <c r="I104" s="24" t="inlineStr">
        <is>
          <t>Iona;Kayn</t>
        </is>
      </c>
      <c r="J104" s="25" t="inlineStr">
        <is>
          <t>GANKING (I can move from battlefield to battlefield.)If I have moved twice this turn, I don't take damage.</t>
        </is>
      </c>
    </row>
    <row r="105" ht="15" customHeight="1">
      <c r="A105" s="24" t="inlineStr">
        <is>
          <t>OGN-190</t>
        </is>
      </c>
      <c r="B105" s="24" t="inlineStr"/>
      <c r="C105" s="24" t="inlineStr">
        <is>
          <t>Kog'Maw - Caustic</t>
        </is>
      </c>
      <c r="D105" s="24" t="inlineStr">
        <is>
          <t>Chaos</t>
        </is>
      </c>
      <c r="E105" s="24" t="inlineStr">
        <is>
          <t>Champion Unit</t>
        </is>
      </c>
      <c r="F105" s="24" t="inlineStr">
        <is>
          <t>3</t>
        </is>
      </c>
      <c r="G105" s="24" t="inlineStr">
        <is>
          <t>1</t>
        </is>
      </c>
      <c r="H105" s="24" t="inlineStr">
        <is>
          <t>Rare</t>
        </is>
      </c>
      <c r="I105" s="24" t="inlineStr">
        <is>
          <t>Kog'Maw;The Void</t>
        </is>
      </c>
      <c r="J105" s="25" t="inlineStr">
        <is>
          <t>DEATHKNELL - Deal 4 to all units at my battlefield. (When I die, get the effect)</t>
        </is>
      </c>
    </row>
    <row r="106" ht="15" customHeight="1">
      <c r="A106" s="24" t="inlineStr">
        <is>
          <t>OGN-191</t>
        </is>
      </c>
      <c r="B106" s="24" t="inlineStr"/>
      <c r="C106" s="24" t="inlineStr">
        <is>
          <t>Maddened Marauder</t>
        </is>
      </c>
      <c r="D106" s="24" t="inlineStr">
        <is>
          <t>Chaos</t>
        </is>
      </c>
      <c r="E106" s="24" t="inlineStr">
        <is>
          <t>Unit</t>
        </is>
      </c>
      <c r="F106" s="24" t="inlineStr">
        <is>
          <t>5</t>
        </is>
      </c>
      <c r="G106" s="24" t="inlineStr">
        <is>
          <t>4</t>
        </is>
      </c>
      <c r="H106" s="24" t="inlineStr">
        <is>
          <t>Rare</t>
        </is>
      </c>
      <c r="I106" s="24" t="inlineStr">
        <is>
          <t>Bilgewater;Pirate</t>
        </is>
      </c>
      <c r="J106" s="25" t="inlineStr">
        <is>
          <t>TANK (I must be assigned combat damage first.)
When you play me, move a unit from a battlefield to its base.</t>
        </is>
      </c>
    </row>
    <row r="107" ht="15" customHeight="1">
      <c r="A107" s="24" t="inlineStr">
        <is>
          <t>OGN-192</t>
        </is>
      </c>
      <c r="B107" s="24" t="inlineStr"/>
      <c r="C107" s="24" t="inlineStr">
        <is>
          <t>Mindsplitter</t>
        </is>
      </c>
      <c r="D107" s="24" t="inlineStr">
        <is>
          <t>Chaos</t>
        </is>
      </c>
      <c r="E107" s="24" t="inlineStr">
        <is>
          <t>Unit</t>
        </is>
      </c>
      <c r="F107" s="24" t="inlineStr">
        <is>
          <t>7</t>
        </is>
      </c>
      <c r="G107" s="24" t="inlineStr">
        <is>
          <t>7</t>
        </is>
      </c>
      <c r="H107" s="24" t="inlineStr">
        <is>
          <t>Rare</t>
        </is>
      </c>
      <c r="I107" s="24" t="inlineStr">
        <is>
          <t>Dragon;Mount Targon</t>
        </is>
      </c>
      <c r="J107" s="25" t="inlineStr">
        <is>
          <t>When you play me, choose an opponent. They reveal their hand. Choose a card from it, and they discard that card.</t>
        </is>
      </c>
    </row>
    <row r="108" ht="15" customHeight="1">
      <c r="A108" s="24" t="inlineStr">
        <is>
          <t>OGN-193</t>
        </is>
      </c>
      <c r="B108" s="24" t="inlineStr"/>
      <c r="C108" s="24" t="inlineStr">
        <is>
          <t>Miss Fortune - Buccaneer</t>
        </is>
      </c>
      <c r="D108" s="24" t="inlineStr">
        <is>
          <t>Chaos</t>
        </is>
      </c>
      <c r="E108" s="24" t="inlineStr">
        <is>
          <t>Champion Unit</t>
        </is>
      </c>
      <c r="F108" s="24" t="inlineStr">
        <is>
          <t>4</t>
        </is>
      </c>
      <c r="G108" s="24" t="inlineStr">
        <is>
          <t>4</t>
        </is>
      </c>
      <c r="H108" s="24" t="inlineStr">
        <is>
          <t>Rare</t>
        </is>
      </c>
      <c r="I108" s="24" t="inlineStr">
        <is>
          <t>Bilgewater;Miss Fortune;Pirate</t>
        </is>
      </c>
      <c r="J108" s="25" t="inlineStr">
        <is>
          <t>You may play me to an open battlefield.Friendly units may be played to open battlefields.</t>
        </is>
      </c>
    </row>
    <row r="109" ht="15" customHeight="1">
      <c r="A109" s="24" t="inlineStr">
        <is>
          <t>OGN-194</t>
        </is>
      </c>
      <c r="B109" s="24" t="inlineStr"/>
      <c r="C109" s="24" t="inlineStr">
        <is>
          <t>Nocturne - Horrifying</t>
        </is>
      </c>
      <c r="D109" s="24" t="inlineStr">
        <is>
          <t>Chaos</t>
        </is>
      </c>
      <c r="E109" s="24" t="inlineStr">
        <is>
          <t>Champion Unit</t>
        </is>
      </c>
      <c r="F109" s="24" t="inlineStr">
        <is>
          <t>4</t>
        </is>
      </c>
      <c r="G109" s="24" t="inlineStr">
        <is>
          <t>4</t>
        </is>
      </c>
      <c r="H109" s="24" t="inlineStr">
        <is>
          <t>Rare</t>
        </is>
      </c>
      <c r="I109" s="24" t="inlineStr">
        <is>
          <t>Nocturne</t>
        </is>
      </c>
      <c r="J109" s="25" t="inlineStr">
        <is>
          <t>GANKING (I can move from battlefield to battlefield.) When you look at cards from the top of your deck (and don't draw them) and see me, you may play me for [Power].</t>
        </is>
      </c>
    </row>
    <row r="110" ht="15" customHeight="1">
      <c r="A110" s="24" t="inlineStr">
        <is>
          <t>OGN-196</t>
        </is>
      </c>
      <c r="B110" s="24" t="inlineStr"/>
      <c r="C110" s="24" t="inlineStr">
        <is>
          <t>Soulgorger</t>
        </is>
      </c>
      <c r="D110" s="24" t="inlineStr">
        <is>
          <t>Chaos</t>
        </is>
      </c>
      <c r="E110" s="24" t="inlineStr">
        <is>
          <t>Unit</t>
        </is>
      </c>
      <c r="F110" s="24" t="inlineStr">
        <is>
          <t>8</t>
        </is>
      </c>
      <c r="G110" s="24" t="inlineStr">
        <is>
          <t>5</t>
        </is>
      </c>
      <c r="H110" s="24" t="inlineStr">
        <is>
          <t>Rare</t>
        </is>
      </c>
      <c r="I110" s="24" t="inlineStr">
        <is>
          <t>Shadow Isles;Spirit</t>
        </is>
      </c>
      <c r="J110" s="25" t="inlineStr">
        <is>
          <t>When you play me, you may play a unit from your trash, ignoring its Energy cost. (You must still pay its Power cost.)</t>
        </is>
      </c>
    </row>
    <row r="111" ht="15" customHeight="1">
      <c r="A111" s="24" t="inlineStr">
        <is>
          <t>OGN-197</t>
        </is>
      </c>
      <c r="B111" s="24" t="inlineStr"/>
      <c r="C111" s="24" t="inlineStr">
        <is>
          <t>Teemo - Scout</t>
        </is>
      </c>
      <c r="D111" s="24" t="inlineStr">
        <is>
          <t>Chaos</t>
        </is>
      </c>
      <c r="E111" s="24" t="inlineStr">
        <is>
          <t>Champion Unit</t>
        </is>
      </c>
      <c r="F111" s="24" t="inlineStr">
        <is>
          <t>2</t>
        </is>
      </c>
      <c r="G111" s="24" t="inlineStr">
        <is>
          <t>1</t>
        </is>
      </c>
      <c r="H111" s="24" t="inlineStr">
        <is>
          <t>Rare</t>
        </is>
      </c>
      <c r="I111" s="24" t="inlineStr">
        <is>
          <t>Bandle City;Teemo;Yordle</t>
        </is>
      </c>
      <c r="J111" s="25" t="inlineStr">
        <is>
          <t>HIDDEN (Hide now for 1 Rune to react with later for 0.)When you play me, give me +3 Might this turn.</t>
        </is>
      </c>
    </row>
    <row r="112" ht="15" customHeight="1">
      <c r="A112" s="24" t="inlineStr">
        <is>
          <t>OGN-198</t>
        </is>
      </c>
      <c r="B112" s="24" t="inlineStr"/>
      <c r="C112" s="24" t="inlineStr">
        <is>
          <t>The Harrowing</t>
        </is>
      </c>
      <c r="D112" s="24" t="inlineStr">
        <is>
          <t>Chaos</t>
        </is>
      </c>
      <c r="E112" s="24" t="inlineStr">
        <is>
          <t>Spell</t>
        </is>
      </c>
      <c r="F112" s="24" t="inlineStr">
        <is>
          <t>6</t>
        </is>
      </c>
      <c r="G112" s="24" t="inlineStr">
        <is>
          <t>0</t>
        </is>
      </c>
      <c r="H112" s="24" t="inlineStr">
        <is>
          <t>Rare</t>
        </is>
      </c>
      <c r="I112" s="24" t="inlineStr"/>
      <c r="J112" s="25" t="inlineStr">
        <is>
          <t>Play a unit from your trash, ignoring its Energy cost. (You must still pay its Power cost.)</t>
        </is>
      </c>
    </row>
    <row r="113" ht="15" customHeight="1">
      <c r="A113" s="24" t="inlineStr">
        <is>
          <t>OGN-199</t>
        </is>
      </c>
      <c r="B113" s="24" t="inlineStr"/>
      <c r="C113" s="24" t="inlineStr">
        <is>
          <t>Tideturner</t>
        </is>
      </c>
      <c r="D113" s="24" t="inlineStr">
        <is>
          <t>Chaos</t>
        </is>
      </c>
      <c r="E113" s="24" t="inlineStr">
        <is>
          <t>Unit</t>
        </is>
      </c>
      <c r="F113" s="24" t="inlineStr">
        <is>
          <t>2</t>
        </is>
      </c>
      <c r="G113" s="24" t="inlineStr">
        <is>
          <t>2</t>
        </is>
      </c>
      <c r="H113" s="24" t="inlineStr">
        <is>
          <t>Rare</t>
        </is>
      </c>
      <c r="I113" s="24" t="inlineStr">
        <is>
          <t>Bilgewater</t>
        </is>
      </c>
      <c r="J113" s="25" t="inlineStr">
        <is>
          <t>HIDDEN (Hide now for 1 Rune to react with later for 0.)
When you play me, you may choose a friendly unit. Move me to its location and it to my original location.</t>
        </is>
      </c>
    </row>
    <row r="114" ht="15" customHeight="1">
      <c r="A114" s="24" t="inlineStr">
        <is>
          <t>OGN-200</t>
        </is>
      </c>
      <c r="B114" s="24" t="inlineStr"/>
      <c r="C114" s="24" t="inlineStr">
        <is>
          <t>Twisted Fate - Gambler</t>
        </is>
      </c>
      <c r="D114" s="24" t="inlineStr">
        <is>
          <t>Chaos</t>
        </is>
      </c>
      <c r="E114" s="24" t="inlineStr">
        <is>
          <t>Champion Unit</t>
        </is>
      </c>
      <c r="F114" s="24" t="inlineStr">
        <is>
          <t>4</t>
        </is>
      </c>
      <c r="G114" s="24" t="inlineStr">
        <is>
          <t>4</t>
        </is>
      </c>
      <c r="H114" s="24" t="inlineStr">
        <is>
          <t>Rare</t>
        </is>
      </c>
      <c r="I114" s="24" t="inlineStr">
        <is>
          <t>Bilgewater;Twisted Fate</t>
        </is>
      </c>
      <c r="J114" s="25" t="inlineStr">
        <is>
          <t>When I attack, reveal the top rune of your rune deck, then recycle it. Do one of the following based on its domain:Fury - Deal 2 to an enemy unit here and 1 to all other enemy units here.Mind - Draw 1.Order - Stun an enemy unit.</t>
        </is>
      </c>
    </row>
    <row r="115" ht="15" customHeight="1">
      <c r="A115" s="24" t="inlineStr">
        <is>
          <t>OGN-202</t>
        </is>
      </c>
      <c r="B115" s="24" t="inlineStr"/>
      <c r="C115" s="24" t="inlineStr">
        <is>
          <t>Jinx - Rebel</t>
        </is>
      </c>
      <c r="D115" s="24" t="inlineStr">
        <is>
          <t>Chaos</t>
        </is>
      </c>
      <c r="E115" s="24" t="inlineStr">
        <is>
          <t>Champion Unit</t>
        </is>
      </c>
      <c r="F115" s="24" t="inlineStr">
        <is>
          <t>5</t>
        </is>
      </c>
      <c r="G115" s="24" t="inlineStr">
        <is>
          <t>5</t>
        </is>
      </c>
      <c r="H115" s="24" t="inlineStr">
        <is>
          <t>Epic</t>
        </is>
      </c>
      <c r="I115" s="24" t="inlineStr">
        <is>
          <t>Jinx;Zaun</t>
        </is>
      </c>
      <c r="J115" s="25" t="inlineStr">
        <is>
          <t>When you discard one or more cards, ready me and give me +1 Might this turn.</t>
        </is>
      </c>
    </row>
    <row r="116" ht="15" customHeight="1">
      <c r="A116" s="24" t="inlineStr">
        <is>
          <t>OGN-203</t>
        </is>
      </c>
      <c r="B116" s="24" t="inlineStr"/>
      <c r="C116" s="24" t="inlineStr">
        <is>
          <t>Possession</t>
        </is>
      </c>
      <c r="D116" s="24" t="inlineStr">
        <is>
          <t>Chaos</t>
        </is>
      </c>
      <c r="E116" s="24" t="inlineStr">
        <is>
          <t>Spell</t>
        </is>
      </c>
      <c r="F116" s="24" t="inlineStr">
        <is>
          <t>8</t>
        </is>
      </c>
      <c r="G116" s="24" t="inlineStr">
        <is>
          <t>0</t>
        </is>
      </c>
      <c r="H116" s="24" t="inlineStr">
        <is>
          <t>Epic</t>
        </is>
      </c>
      <c r="I116" s="24" t="inlineStr"/>
      <c r="J116" s="25" t="inlineStr">
        <is>
          <t>ACTION (Play on your turn or in showdowns.)Choose an enemy unit at a battlefield. Take control of it and recall it. (Send it to your base. This isn't a move.)</t>
        </is>
      </c>
    </row>
    <row r="117" ht="15" customHeight="1">
      <c r="A117" s="24" t="inlineStr">
        <is>
          <t>OGN-204</t>
        </is>
      </c>
      <c r="B117" s="24" t="inlineStr"/>
      <c r="C117" s="24" t="inlineStr">
        <is>
          <t>Seal of Discord</t>
        </is>
      </c>
      <c r="D117" s="24" t="inlineStr">
        <is>
          <t>Chaos</t>
        </is>
      </c>
      <c r="E117" s="24" t="inlineStr">
        <is>
          <t>Gear</t>
        </is>
      </c>
      <c r="F117" s="24" t="inlineStr">
        <is>
          <t>0</t>
        </is>
      </c>
      <c r="G117" s="24" t="inlineStr">
        <is>
          <t>0</t>
        </is>
      </c>
      <c r="H117" s="24" t="inlineStr">
        <is>
          <t>Epic</t>
        </is>
      </c>
      <c r="I117" s="24" t="inlineStr"/>
      <c r="J117" s="25" t="inlineStr">
        <is>
          <t>Exhaust: REACTION - ADD chaos. (Abilities that add resources can't be reacted to.)</t>
        </is>
      </c>
    </row>
    <row r="118" ht="15" customHeight="1">
      <c r="A118" s="24" t="inlineStr">
        <is>
          <t>OGN-205</t>
        </is>
      </c>
      <c r="B118" s="24" t="inlineStr"/>
      <c r="C118" s="24" t="inlineStr">
        <is>
          <t>Yasuo - Windrider</t>
        </is>
      </c>
      <c r="D118" s="24" t="inlineStr">
        <is>
          <t>Chaos</t>
        </is>
      </c>
      <c r="E118" s="24" t="inlineStr">
        <is>
          <t>Champion Unit</t>
        </is>
      </c>
      <c r="F118" s="24" t="inlineStr">
        <is>
          <t>5</t>
        </is>
      </c>
      <c r="G118" s="24" t="inlineStr">
        <is>
          <t>4</t>
        </is>
      </c>
      <c r="H118" s="24" t="inlineStr">
        <is>
          <t>Epic</t>
        </is>
      </c>
      <c r="I118" s="24" t="inlineStr">
        <is>
          <t>Ionia;Yasuo</t>
        </is>
      </c>
      <c r="J118" s="25" t="inlineStr">
        <is>
          <t>GANKING (I can move from battlefield to battlefield.)The third time I move in a turn, you score 1 point.</t>
        </is>
      </c>
    </row>
    <row r="119" ht="15" customHeight="1">
      <c r="A119" s="26" t="inlineStr">
        <is>
          <t>OGN-210</t>
        </is>
      </c>
      <c r="B119" s="26" t="inlineStr"/>
      <c r="C119" s="26" t="inlineStr">
        <is>
          <t>Daring Poro</t>
        </is>
      </c>
      <c r="D119" s="26" t="inlineStr">
        <is>
          <t>Order</t>
        </is>
      </c>
      <c r="E119" s="26" t="inlineStr">
        <is>
          <t>Unit</t>
        </is>
      </c>
      <c r="F119" s="26" t="inlineStr">
        <is>
          <t>2</t>
        </is>
      </c>
      <c r="G119" s="26" t="inlineStr">
        <is>
          <t>2</t>
        </is>
      </c>
      <c r="H119" s="26" t="inlineStr">
        <is>
          <t>Common</t>
        </is>
      </c>
      <c r="I119" s="26" t="inlineStr">
        <is>
          <t>Poro</t>
        </is>
      </c>
      <c r="J119" s="27" t="inlineStr">
        <is>
          <t>ASSAULT (+1 Might while I'm an attacker.)</t>
        </is>
      </c>
    </row>
    <row r="120" ht="15" customHeight="1">
      <c r="A120" s="26" t="inlineStr">
        <is>
          <t>OGN-211</t>
        </is>
      </c>
      <c r="B120" s="26" t="inlineStr"/>
      <c r="C120" s="26" t="inlineStr">
        <is>
          <t>Faithful Manufactor</t>
        </is>
      </c>
      <c r="D120" s="26" t="inlineStr">
        <is>
          <t>Order</t>
        </is>
      </c>
      <c r="E120" s="26" t="inlineStr">
        <is>
          <t>Unit</t>
        </is>
      </c>
      <c r="F120" s="26" t="inlineStr">
        <is>
          <t>3</t>
        </is>
      </c>
      <c r="G120" s="26" t="inlineStr">
        <is>
          <t>2</t>
        </is>
      </c>
      <c r="H120" s="26" t="inlineStr">
        <is>
          <t>Common</t>
        </is>
      </c>
      <c r="I120" s="26" t="inlineStr">
        <is>
          <t>Piltover</t>
        </is>
      </c>
      <c r="J120" s="27" t="inlineStr">
        <is>
          <t>When you play me, play a 1 Might Recruit unit token here.</t>
        </is>
      </c>
    </row>
    <row r="121" ht="15" customHeight="1">
      <c r="A121" s="26" t="inlineStr">
        <is>
          <t>OGN-212</t>
        </is>
      </c>
      <c r="B121" s="26" t="inlineStr"/>
      <c r="C121" s="26" t="inlineStr">
        <is>
          <t>Forge of the Future</t>
        </is>
      </c>
      <c r="D121" s="26" t="inlineStr">
        <is>
          <t>Order</t>
        </is>
      </c>
      <c r="E121" s="26" t="inlineStr">
        <is>
          <t>Gear</t>
        </is>
      </c>
      <c r="F121" s="26" t="inlineStr">
        <is>
          <t>2</t>
        </is>
      </c>
      <c r="G121" s="26" t="inlineStr">
        <is>
          <t>0</t>
        </is>
      </c>
      <c r="H121" s="26" t="inlineStr">
        <is>
          <t>Common</t>
        </is>
      </c>
      <c r="I121" s="26" t="inlineStr"/>
      <c r="J121" s="27" t="inlineStr">
        <is>
          <t>When you play this, play a 1 Might Recruit unit token at your base.
Kill this: Recycle up to 4 cards from trashes.</t>
        </is>
      </c>
    </row>
    <row r="122" ht="15" customHeight="1">
      <c r="A122" s="26" t="inlineStr">
        <is>
          <t>OGN-214</t>
        </is>
      </c>
      <c r="B122" s="26" t="inlineStr"/>
      <c r="C122" s="26" t="inlineStr">
        <is>
          <t>Order Rune</t>
        </is>
      </c>
      <c r="D122" s="26" t="inlineStr">
        <is>
          <t>Order</t>
        </is>
      </c>
      <c r="E122" s="26" t="inlineStr">
        <is>
          <t>Rune</t>
        </is>
      </c>
      <c r="F122" s="26" t="inlineStr">
        <is>
          <t>0</t>
        </is>
      </c>
      <c r="G122" s="26" t="inlineStr">
        <is>
          <t>0</t>
        </is>
      </c>
      <c r="H122" s="26" t="inlineStr">
        <is>
          <t>Common</t>
        </is>
      </c>
      <c r="I122" s="26" t="inlineStr"/>
      <c r="J122" s="27" t="inlineStr"/>
    </row>
    <row r="123" ht="15" customHeight="1">
      <c r="A123" s="26" t="inlineStr">
        <is>
          <t>OGN-215</t>
        </is>
      </c>
      <c r="B123" s="26" t="inlineStr"/>
      <c r="C123" s="26" t="inlineStr">
        <is>
          <t>Petty Officer</t>
        </is>
      </c>
      <c r="D123" s="26" t="inlineStr">
        <is>
          <t>Order</t>
        </is>
      </c>
      <c r="E123" s="26" t="inlineStr">
        <is>
          <t>Unit</t>
        </is>
      </c>
      <c r="F123" s="26" t="inlineStr">
        <is>
          <t>5</t>
        </is>
      </c>
      <c r="G123" s="26" t="inlineStr">
        <is>
          <t>5</t>
        </is>
      </c>
      <c r="H123" s="26" t="inlineStr">
        <is>
          <t>Common</t>
        </is>
      </c>
      <c r="I123" s="26" t="inlineStr">
        <is>
          <t>Bilgewater;Pirate</t>
        </is>
      </c>
      <c r="J123" s="27" t="inlineStr">
        <is>
          <t>ASSAULT (+1 Might while I'm an attacker.)</t>
        </is>
      </c>
    </row>
    <row r="124" ht="15" customHeight="1">
      <c r="A124" s="26" t="inlineStr">
        <is>
          <t>OGN-217</t>
        </is>
      </c>
      <c r="B124" s="26" t="inlineStr"/>
      <c r="C124" s="26" t="inlineStr">
        <is>
          <t>Trifarian Gloryseeker</t>
        </is>
      </c>
      <c r="D124" s="26" t="inlineStr">
        <is>
          <t>Order</t>
        </is>
      </c>
      <c r="E124" s="26" t="inlineStr">
        <is>
          <t>Unit</t>
        </is>
      </c>
      <c r="F124" s="26" t="inlineStr">
        <is>
          <t>2</t>
        </is>
      </c>
      <c r="G124" s="26" t="inlineStr">
        <is>
          <t>2</t>
        </is>
      </c>
      <c r="H124" s="26" t="inlineStr">
        <is>
          <t>Common</t>
        </is>
      </c>
      <c r="I124" s="26" t="inlineStr">
        <is>
          <t>Noxus;Trifarian</t>
        </is>
      </c>
      <c r="J124" s="27" t="inlineStr">
        <is>
          <t>LEGION When you play me, buff me. (If I don't have a buff, I get a +1 Might buff. Get the effect if you've played another card this turn.)</t>
        </is>
      </c>
    </row>
    <row r="125" ht="15" customHeight="1">
      <c r="A125" s="26" t="inlineStr">
        <is>
          <t>OGN-218</t>
        </is>
      </c>
      <c r="B125" s="26" t="inlineStr"/>
      <c r="C125" s="26" t="inlineStr">
        <is>
          <t>Vanguard Captain</t>
        </is>
      </c>
      <c r="D125" s="26" t="inlineStr">
        <is>
          <t>Order</t>
        </is>
      </c>
      <c r="E125" s="26" t="inlineStr">
        <is>
          <t>Unit</t>
        </is>
      </c>
      <c r="F125" s="26" t="inlineStr">
        <is>
          <t>3</t>
        </is>
      </c>
      <c r="G125" s="26" t="inlineStr">
        <is>
          <t>3</t>
        </is>
      </c>
      <c r="H125" s="26" t="inlineStr">
        <is>
          <t>Common</t>
        </is>
      </c>
      <c r="I125" s="26" t="inlineStr">
        <is>
          <t>Demacia;Elite</t>
        </is>
      </c>
      <c r="J125" s="27" t="inlineStr">
        <is>
          <t>LEGION - When you play me, play two 1 Might Recruit unit token here. (Get the effect if you've played another card this turn.)</t>
        </is>
      </c>
    </row>
    <row r="126" ht="15" customHeight="1">
      <c r="A126" s="26" t="inlineStr">
        <is>
          <t>OGN-219</t>
        </is>
      </c>
      <c r="B126" s="26" t="inlineStr"/>
      <c r="C126" s="26" t="inlineStr">
        <is>
          <t>Vanguard Sergeant</t>
        </is>
      </c>
      <c r="D126" s="26" t="inlineStr">
        <is>
          <t>Order</t>
        </is>
      </c>
      <c r="E126" s="26" t="inlineStr">
        <is>
          <t>Unit</t>
        </is>
      </c>
      <c r="F126" s="26" t="inlineStr">
        <is>
          <t>4</t>
        </is>
      </c>
      <c r="G126" s="26" t="inlineStr">
        <is>
          <t>4</t>
        </is>
      </c>
      <c r="H126" s="26" t="inlineStr">
        <is>
          <t>Common</t>
        </is>
      </c>
      <c r="I126" s="26" t="inlineStr">
        <is>
          <t>Demacia;Elite</t>
        </is>
      </c>
      <c r="J126" s="27" t="inlineStr"/>
    </row>
    <row r="127" ht="15" customHeight="1">
      <c r="A127" s="26" t="inlineStr">
        <is>
          <t>OGN-221</t>
        </is>
      </c>
      <c r="B127" s="26" t="inlineStr"/>
      <c r="C127" s="26" t="inlineStr">
        <is>
          <t>Imperial Decree</t>
        </is>
      </c>
      <c r="D127" s="26" t="inlineStr">
        <is>
          <t>Order</t>
        </is>
      </c>
      <c r="E127" s="26" t="inlineStr">
        <is>
          <t>Spell</t>
        </is>
      </c>
      <c r="F127" s="26" t="inlineStr">
        <is>
          <t>5</t>
        </is>
      </c>
      <c r="G127" s="26" t="inlineStr">
        <is>
          <t>0</t>
        </is>
      </c>
      <c r="H127" s="26" t="inlineStr">
        <is>
          <t>Uncommon</t>
        </is>
      </c>
      <c r="I127" s="26" t="inlineStr"/>
      <c r="J127" s="27" t="inlineStr">
        <is>
          <t>ACTION (Play on your turn or in showdowns.) When any unit takes damage this turn, kill it.</t>
        </is>
      </c>
    </row>
    <row r="128" ht="15" customHeight="1">
      <c r="A128" s="26" t="inlineStr">
        <is>
          <t>OGN-223</t>
        </is>
      </c>
      <c r="B128" s="26" t="inlineStr"/>
      <c r="C128" s="26" t="inlineStr">
        <is>
          <t>Peak Guardian</t>
        </is>
      </c>
      <c r="D128" s="26" t="inlineStr">
        <is>
          <t>Order</t>
        </is>
      </c>
      <c r="E128" s="26" t="inlineStr">
        <is>
          <t>Unit</t>
        </is>
      </c>
      <c r="F128" s="26" t="inlineStr">
        <is>
          <t>6</t>
        </is>
      </c>
      <c r="G128" s="26" t="inlineStr">
        <is>
          <t>5</t>
        </is>
      </c>
      <c r="H128" s="26" t="inlineStr">
        <is>
          <t>Uncommon</t>
        </is>
      </c>
      <c r="I128" s="26" t="inlineStr">
        <is>
          <t>Mount Targon</t>
        </is>
      </c>
      <c r="J128" s="27" t="inlineStr">
        <is>
          <t>When you play me, buff me. Then, if I am at a battlefield, buff all other friendly units there. (To buff a unit give it a +1 Might if it doesn't already have one.)</t>
        </is>
      </c>
    </row>
    <row r="129" ht="15" customHeight="1">
      <c r="A129" s="26" t="inlineStr">
        <is>
          <t>OGN-224</t>
        </is>
      </c>
      <c r="B129" s="26" t="inlineStr"/>
      <c r="C129" s="26" t="inlineStr">
        <is>
          <t>Salvage</t>
        </is>
      </c>
      <c r="D129" s="26" t="inlineStr">
        <is>
          <t>Order</t>
        </is>
      </c>
      <c r="E129" s="26" t="inlineStr">
        <is>
          <t>Spell</t>
        </is>
      </c>
      <c r="F129" s="26" t="inlineStr">
        <is>
          <t>2</t>
        </is>
      </c>
      <c r="G129" s="26" t="inlineStr">
        <is>
          <t>0</t>
        </is>
      </c>
      <c r="H129" s="26" t="inlineStr">
        <is>
          <t>Uncommon</t>
        </is>
      </c>
      <c r="I129" s="26" t="inlineStr"/>
      <c r="J129" s="27" t="inlineStr">
        <is>
          <t>ACTION (Play on your turn or in showdowns.)
You may kill a gear. Draw 1.</t>
        </is>
      </c>
    </row>
    <row r="130" ht="15" customHeight="1">
      <c r="A130" s="26" t="inlineStr">
        <is>
          <t>OGN-225</t>
        </is>
      </c>
      <c r="B130" s="26" t="inlineStr"/>
      <c r="C130" s="26" t="inlineStr">
        <is>
          <t>Solari Chief</t>
        </is>
      </c>
      <c r="D130" s="26" t="inlineStr">
        <is>
          <t>Order</t>
        </is>
      </c>
      <c r="E130" s="26" t="inlineStr">
        <is>
          <t>Unit</t>
        </is>
      </c>
      <c r="F130" s="26" t="inlineStr">
        <is>
          <t>5</t>
        </is>
      </c>
      <c r="G130" s="26" t="inlineStr">
        <is>
          <t>4</t>
        </is>
      </c>
      <c r="H130" s="26" t="inlineStr">
        <is>
          <t>Uncommon</t>
        </is>
      </c>
      <c r="I130" s="26" t="inlineStr">
        <is>
          <t>Mount Targon</t>
        </is>
      </c>
      <c r="J130" s="27" t="inlineStr">
        <is>
          <t>When you play me, choose an enemy unit. If it is stunned, kill it. Otherwise, stun it. (It doesn't deal combat damage this turn.)</t>
        </is>
      </c>
    </row>
    <row r="131" ht="15" customHeight="1">
      <c r="A131" s="26" t="inlineStr">
        <is>
          <t>OGN-227</t>
        </is>
      </c>
      <c r="B131" s="26" t="inlineStr"/>
      <c r="C131" s="26" t="inlineStr">
        <is>
          <t>Symbol of the Solari</t>
        </is>
      </c>
      <c r="D131" s="26" t="inlineStr">
        <is>
          <t>Order</t>
        </is>
      </c>
      <c r="E131" s="26" t="inlineStr">
        <is>
          <t>Gear</t>
        </is>
      </c>
      <c r="F131" s="26" t="inlineStr">
        <is>
          <t>1</t>
        </is>
      </c>
      <c r="G131" s="26" t="inlineStr">
        <is>
          <t>0</t>
        </is>
      </c>
      <c r="H131" s="26" t="inlineStr">
        <is>
          <t>Uncommon</t>
        </is>
      </c>
      <c r="I131" s="26" t="inlineStr"/>
      <c r="J131" s="27" t="inlineStr">
        <is>
          <t>If a combat where you are the attacker ends in a tie, recall ALL units instead. (Send them to base. This isn't a move. Ties are calculated after combat damage is dealt.)</t>
        </is>
      </c>
    </row>
    <row r="132" ht="15" customHeight="1">
      <c r="A132" s="26" t="inlineStr">
        <is>
          <t>OGN-229</t>
        </is>
      </c>
      <c r="B132" s="26" t="inlineStr"/>
      <c r="C132" s="26" t="inlineStr">
        <is>
          <t>Vengeance</t>
        </is>
      </c>
      <c r="D132" s="26" t="inlineStr">
        <is>
          <t>Order</t>
        </is>
      </c>
      <c r="E132" s="26" t="inlineStr">
        <is>
          <t>Spell</t>
        </is>
      </c>
      <c r="F132" s="26" t="inlineStr">
        <is>
          <t>4</t>
        </is>
      </c>
      <c r="G132" s="26" t="inlineStr">
        <is>
          <t>0</t>
        </is>
      </c>
      <c r="H132" s="26" t="inlineStr">
        <is>
          <t>Uncommon</t>
        </is>
      </c>
      <c r="I132" s="26" t="inlineStr"/>
      <c r="J132" s="27" t="inlineStr">
        <is>
          <t>Kill a unit.</t>
        </is>
      </c>
    </row>
    <row r="133" ht="15" customHeight="1">
      <c r="A133" s="26" t="inlineStr">
        <is>
          <t>OGN-230</t>
        </is>
      </c>
      <c r="B133" s="26" t="inlineStr"/>
      <c r="C133" s="26" t="inlineStr">
        <is>
          <t>Albus Ferros</t>
        </is>
      </c>
      <c r="D133" s="26" t="inlineStr">
        <is>
          <t>Order</t>
        </is>
      </c>
      <c r="E133" s="26" t="inlineStr">
        <is>
          <t>Unit</t>
        </is>
      </c>
      <c r="F133" s="26" t="inlineStr">
        <is>
          <t>4</t>
        </is>
      </c>
      <c r="G133" s="26" t="inlineStr">
        <is>
          <t>3</t>
        </is>
      </c>
      <c r="H133" s="26" t="inlineStr">
        <is>
          <t>Rare</t>
        </is>
      </c>
      <c r="I133" s="26" t="inlineStr">
        <is>
          <t>Piltover</t>
        </is>
      </c>
      <c r="J133" s="27" t="inlineStr">
        <is>
          <t>When you play me, spend any number of buffs.
For each buff spent, channel 1 rune exhausted.</t>
        </is>
      </c>
    </row>
    <row r="134" ht="15" customHeight="1">
      <c r="A134" s="26" t="inlineStr">
        <is>
          <t>OGN-231</t>
        </is>
      </c>
      <c r="B134" s="26" t="inlineStr"/>
      <c r="C134" s="26" t="inlineStr">
        <is>
          <t>Commander Ledros</t>
        </is>
      </c>
      <c r="D134" s="26" t="inlineStr">
        <is>
          <t>Order</t>
        </is>
      </c>
      <c r="E134" s="26" t="inlineStr">
        <is>
          <t>Unit</t>
        </is>
      </c>
      <c r="F134" s="26" t="inlineStr">
        <is>
          <t>6</t>
        </is>
      </c>
      <c r="G134" s="26" t="inlineStr">
        <is>
          <t>8</t>
        </is>
      </c>
      <c r="H134" s="26" t="inlineStr">
        <is>
          <t>Rare</t>
        </is>
      </c>
      <c r="I134" s="26" t="inlineStr">
        <is>
          <t>Shadow Isles;Spirit</t>
        </is>
      </c>
      <c r="J134" s="27" t="inlineStr">
        <is>
          <t>As you play me, you may kill any number of friendly units as an additional cost. Reduce my cost by order for each killed this way.
DEFLECT (Opponents must pay rune to choose me with a spell or ability.)
GANKING (I can move from battlefield to battlefield.)</t>
        </is>
      </c>
    </row>
    <row r="135" ht="15" customHeight="1">
      <c r="A135" s="26" t="inlineStr">
        <is>
          <t>OGN-232</t>
        </is>
      </c>
      <c r="B135" s="26" t="inlineStr"/>
      <c r="C135" s="26" t="inlineStr">
        <is>
          <t>Fiora - Victorious</t>
        </is>
      </c>
      <c r="D135" s="26" t="inlineStr">
        <is>
          <t>Order</t>
        </is>
      </c>
      <c r="E135" s="26" t="inlineStr">
        <is>
          <t>Unit</t>
        </is>
      </c>
      <c r="F135" s="26" t="inlineStr">
        <is>
          <t>4</t>
        </is>
      </c>
      <c r="G135" s="26" t="inlineStr">
        <is>
          <t>4</t>
        </is>
      </c>
      <c r="H135" s="26" t="inlineStr">
        <is>
          <t>Rare</t>
        </is>
      </c>
      <c r="I135" s="26" t="inlineStr">
        <is>
          <t>Demacia;Fiora</t>
        </is>
      </c>
      <c r="J135" s="27" t="inlineStr">
        <is>
          <t>While I'm MIGHTY, I have DEFLECT, GANKING and SHIELD. (I'm Mighty while I have 5+ Might.)</t>
        </is>
      </c>
    </row>
    <row r="136" ht="15" customHeight="1">
      <c r="A136" s="26" t="inlineStr">
        <is>
          <t>OGN-234</t>
        </is>
      </c>
      <c r="B136" s="26" t="inlineStr"/>
      <c r="C136" s="26" t="inlineStr">
        <is>
          <t>Harnessed Dragon</t>
        </is>
      </c>
      <c r="D136" s="26" t="inlineStr">
        <is>
          <t>Order</t>
        </is>
      </c>
      <c r="E136" s="26" t="inlineStr">
        <is>
          <t>Unit</t>
        </is>
      </c>
      <c r="F136" s="26" t="inlineStr">
        <is>
          <t>8</t>
        </is>
      </c>
      <c r="G136" s="26" t="inlineStr">
        <is>
          <t>6</t>
        </is>
      </c>
      <c r="H136" s="26" t="inlineStr">
        <is>
          <t>Rare</t>
        </is>
      </c>
      <c r="I136" s="26" t="inlineStr">
        <is>
          <t>Demacia;Dragon</t>
        </is>
      </c>
      <c r="J136" s="27" t="inlineStr">
        <is>
          <t>When you play me, kill an enemy unit.</t>
        </is>
      </c>
    </row>
    <row r="137" ht="15" customHeight="1">
      <c r="A137" s="26" t="inlineStr">
        <is>
          <t>OGN-235</t>
        </is>
      </c>
      <c r="B137" s="26" t="inlineStr"/>
      <c r="C137" s="26" t="inlineStr">
        <is>
          <t>Karma - Channeler</t>
        </is>
      </c>
      <c r="D137" s="26" t="inlineStr">
        <is>
          <t>Order</t>
        </is>
      </c>
      <c r="E137" s="26" t="inlineStr">
        <is>
          <t>Champion Unit</t>
        </is>
      </c>
      <c r="F137" s="26" t="inlineStr">
        <is>
          <t>6</t>
        </is>
      </c>
      <c r="G137" s="26" t="inlineStr">
        <is>
          <t>6</t>
        </is>
      </c>
      <c r="H137" s="26" t="inlineStr">
        <is>
          <t>Rare</t>
        </is>
      </c>
      <c r="I137" s="26" t="inlineStr">
        <is>
          <t>Ionia;Karma</t>
        </is>
      </c>
      <c r="J137" s="27" t="inlineStr">
        <is>
          <t>VISION (When you play me, look at the top card of your Main Deck. You may recycle it.)When you recycle one or more cards, buff a friendly unit. (If it doesn't have a buff, it gets a +1 might buff. Runes aren't cards.)</t>
        </is>
      </c>
    </row>
    <row r="138" ht="15" customHeight="1">
      <c r="A138" s="26" t="inlineStr">
        <is>
          <t>OGN-236</t>
        </is>
      </c>
      <c r="B138" s="26" t="inlineStr"/>
      <c r="C138" s="26" t="inlineStr">
        <is>
          <t>Karthus - Eternal</t>
        </is>
      </c>
      <c r="D138" s="26" t="inlineStr">
        <is>
          <t>Order</t>
        </is>
      </c>
      <c r="E138" s="26" t="inlineStr">
        <is>
          <t>Champion Unit</t>
        </is>
      </c>
      <c r="F138" s="26" t="inlineStr">
        <is>
          <t>3</t>
        </is>
      </c>
      <c r="G138" s="26" t="inlineStr">
        <is>
          <t>3</t>
        </is>
      </c>
      <c r="H138" s="26" t="inlineStr">
        <is>
          <t>Rare</t>
        </is>
      </c>
      <c r="I138" s="26" t="inlineStr">
        <is>
          <t>Karthus;Shadow Isles;Spirit</t>
        </is>
      </c>
      <c r="J138" s="27" t="inlineStr">
        <is>
          <t>Your DEATHKNELL trigger an additional time</t>
        </is>
      </c>
    </row>
    <row r="139" ht="15" customHeight="1">
      <c r="A139" s="26" t="inlineStr">
        <is>
          <t>OGN-237</t>
        </is>
      </c>
      <c r="B139" s="26" t="inlineStr"/>
      <c r="C139" s="26" t="inlineStr">
        <is>
          <t>King's Edict</t>
        </is>
      </c>
      <c r="D139" s="26" t="inlineStr">
        <is>
          <t>Order</t>
        </is>
      </c>
      <c r="E139" s="26" t="inlineStr">
        <is>
          <t>Spell</t>
        </is>
      </c>
      <c r="F139" s="26" t="inlineStr">
        <is>
          <t>6</t>
        </is>
      </c>
      <c r="G139" s="26" t="inlineStr">
        <is>
          <t>0</t>
        </is>
      </c>
      <c r="H139" s="26" t="inlineStr">
        <is>
          <t>Rare</t>
        </is>
      </c>
      <c r="I139" s="26" t="inlineStr"/>
      <c r="J139" s="27" t="inlineStr">
        <is>
          <t>Starting with the next player, each other player chooses a unit you don't control that hasn't been chosen for this spell. Kill those units.</t>
        </is>
      </c>
    </row>
    <row r="140" ht="15" customHeight="1">
      <c r="A140" s="26" t="inlineStr">
        <is>
          <t>OGN-238</t>
        </is>
      </c>
      <c r="B140" s="26" t="inlineStr"/>
      <c r="C140" s="26" t="inlineStr">
        <is>
          <t>Leona - Determined</t>
        </is>
      </c>
      <c r="D140" s="26" t="inlineStr">
        <is>
          <t>Order</t>
        </is>
      </c>
      <c r="E140" s="26" t="inlineStr">
        <is>
          <t>Champion Unit</t>
        </is>
      </c>
      <c r="F140" s="26" t="inlineStr">
        <is>
          <t>4</t>
        </is>
      </c>
      <c r="G140" s="26" t="inlineStr">
        <is>
          <t>4</t>
        </is>
      </c>
      <c r="H140" s="26" t="inlineStr">
        <is>
          <t>Rare</t>
        </is>
      </c>
      <c r="I140" s="26" t="inlineStr">
        <is>
          <t>Leona;Mount Targon</t>
        </is>
      </c>
      <c r="J140" s="27" t="inlineStr">
        <is>
          <t>SHIELD (+1 Might while I'm a defender.)When I attack, stun an enemy unit here. (It doesn't deal combat damage this turn.)</t>
        </is>
      </c>
    </row>
    <row r="141" ht="15" customHeight="1">
      <c r="A141" s="26" t="inlineStr">
        <is>
          <t>OGN-239</t>
        </is>
      </c>
      <c r="B141" s="26" t="inlineStr"/>
      <c r="C141" s="26" t="inlineStr">
        <is>
          <t>Machine Evangel</t>
        </is>
      </c>
      <c r="D141" s="26" t="inlineStr">
        <is>
          <t>Order</t>
        </is>
      </c>
      <c r="E141" s="26" t="inlineStr">
        <is>
          <t>Unit</t>
        </is>
      </c>
      <c r="F141" s="26" t="inlineStr">
        <is>
          <t>5</t>
        </is>
      </c>
      <c r="G141" s="26" t="inlineStr">
        <is>
          <t>4</t>
        </is>
      </c>
      <c r="H141" s="26" t="inlineStr">
        <is>
          <t>Rare</t>
        </is>
      </c>
      <c r="I141" s="26" t="inlineStr">
        <is>
          <t>Piltover</t>
        </is>
      </c>
      <c r="J141" s="27" t="inlineStr">
        <is>
          <t>DEATHKNELL - Play three 1 might Recruit unit tokens into your base. (When I die, get the effect.)</t>
        </is>
      </c>
    </row>
    <row r="142" ht="15" customHeight="1">
      <c r="A142" s="26" t="inlineStr">
        <is>
          <t>OGN-240</t>
        </is>
      </c>
      <c r="B142" s="26" t="inlineStr"/>
      <c r="C142" s="26" t="inlineStr">
        <is>
          <t>Sett - Kingpin</t>
        </is>
      </c>
      <c r="D142" s="26" t="inlineStr">
        <is>
          <t>Order</t>
        </is>
      </c>
      <c r="E142" s="26" t="inlineStr">
        <is>
          <t>Champion Unit</t>
        </is>
      </c>
      <c r="F142" s="26" t="inlineStr">
        <is>
          <t>4</t>
        </is>
      </c>
      <c r="G142" s="26" t="inlineStr">
        <is>
          <t>5</t>
        </is>
      </c>
      <c r="H142" s="26" t="inlineStr">
        <is>
          <t>Rare</t>
        </is>
      </c>
      <c r="I142" s="26" t="inlineStr">
        <is>
          <t>Ionia;Sett</t>
        </is>
      </c>
      <c r="J142" s="27" t="inlineStr">
        <is>
          <t>TANK (I must be assigned combat damage first.)I get +1 might for each buffed friendly unit at my battlefield.</t>
        </is>
      </c>
    </row>
    <row r="143" ht="15" customHeight="1">
      <c r="A143" s="26" t="inlineStr">
        <is>
          <t>OGN-241</t>
        </is>
      </c>
      <c r="B143" s="26" t="inlineStr"/>
      <c r="C143" s="26" t="inlineStr">
        <is>
          <t>Shen - Kinkou</t>
        </is>
      </c>
      <c r="D143" s="26" t="inlineStr">
        <is>
          <t>Order</t>
        </is>
      </c>
      <c r="E143" s="26" t="inlineStr">
        <is>
          <t>Champion Unit</t>
        </is>
      </c>
      <c r="F143" s="26" t="inlineStr">
        <is>
          <t>3</t>
        </is>
      </c>
      <c r="G143" s="26" t="inlineStr">
        <is>
          <t>3</t>
        </is>
      </c>
      <c r="H143" s="26" t="inlineStr">
        <is>
          <t>Rare</t>
        </is>
      </c>
      <c r="I143" s="26" t="inlineStr">
        <is>
          <t>Ionia;Shen</t>
        </is>
      </c>
      <c r="J143" s="27" t="inlineStr">
        <is>
          <t>REACTION (Play any time, even before spells and abilities resolve, including to a battlefield you control.)SHIELD 2 (+2 might while I'm a defender.)TANK (I must be assigned combat damage first.)</t>
        </is>
      </c>
    </row>
    <row r="144" ht="15" customHeight="1">
      <c r="A144" s="26" t="inlineStr">
        <is>
          <t>OGN-242</t>
        </is>
      </c>
      <c r="B144" s="26" t="inlineStr"/>
      <c r="C144" s="26" t="inlineStr">
        <is>
          <t>Baited Hook</t>
        </is>
      </c>
      <c r="D144" s="26" t="inlineStr">
        <is>
          <t>Order</t>
        </is>
      </c>
      <c r="E144" s="26" t="inlineStr">
        <is>
          <t>Gear</t>
        </is>
      </c>
      <c r="F144" s="26" t="inlineStr">
        <is>
          <t>3</t>
        </is>
      </c>
      <c r="G144" s="26" t="inlineStr">
        <is>
          <t>0</t>
        </is>
      </c>
      <c r="H144" s="26" t="inlineStr">
        <is>
          <t>Epic</t>
        </is>
      </c>
      <c r="I144" s="26" t="inlineStr"/>
      <c r="J144" s="27" t="inlineStr">
        <is>
          <t>1 order exhaust: Kill a friendly unit. Look at the top 5 cards of your Main Deck. You may play a unit from among them that has Might up to 1 more than the killed unit, ignoring its cost. Then recycle the rest.</t>
        </is>
      </c>
    </row>
    <row r="145" ht="15" customHeight="1">
      <c r="A145" s="26" t="inlineStr">
        <is>
          <t>OGN-243</t>
        </is>
      </c>
      <c r="B145" s="26" t="inlineStr"/>
      <c r="C145" s="26" t="inlineStr">
        <is>
          <t>Darius - Executioner</t>
        </is>
      </c>
      <c r="D145" s="26" t="inlineStr">
        <is>
          <t>Order</t>
        </is>
      </c>
      <c r="E145" s="26" t="inlineStr">
        <is>
          <t>Champion Unit</t>
        </is>
      </c>
      <c r="F145" s="26" t="inlineStr">
        <is>
          <t>6</t>
        </is>
      </c>
      <c r="G145" s="26" t="inlineStr">
        <is>
          <t>6</t>
        </is>
      </c>
      <c r="H145" s="26" t="inlineStr">
        <is>
          <t>Epic</t>
        </is>
      </c>
      <c r="I145" s="26" t="inlineStr">
        <is>
          <t>Noxus;Darius;Trifarian</t>
        </is>
      </c>
      <c r="J145" s="27" t="inlineStr">
        <is>
          <t>LEGION - When you play me, ready me. (Get the effect if you've played another card this turn)
Other friendly units have +1 might here.</t>
        </is>
      </c>
    </row>
    <row r="146" ht="15" customHeight="1">
      <c r="A146" s="26" t="inlineStr">
        <is>
          <t>OGN-244</t>
        </is>
      </c>
      <c r="B146" s="26" t="inlineStr"/>
      <c r="C146" s="26" t="inlineStr">
        <is>
          <t>Divine Judgment</t>
        </is>
      </c>
      <c r="D146" s="26" t="inlineStr">
        <is>
          <t>Order</t>
        </is>
      </c>
      <c r="E146" s="26" t="inlineStr">
        <is>
          <t>Spell</t>
        </is>
      </c>
      <c r="F146" s="26" t="inlineStr">
        <is>
          <t>7</t>
        </is>
      </c>
      <c r="G146" s="26" t="inlineStr">
        <is>
          <t>0</t>
        </is>
      </c>
      <c r="H146" s="26" t="inlineStr">
        <is>
          <t>Epic</t>
        </is>
      </c>
      <c r="I146" s="26" t="inlineStr"/>
      <c r="J146" s="27" t="inlineStr">
        <is>
          <t>Each player chooses 2 units, 2 gear, 2 runes, and 2 cards in their hands. Recycle the rest.</t>
        </is>
      </c>
    </row>
    <row r="147" ht="15" customHeight="1">
      <c r="A147" s="26" t="inlineStr">
        <is>
          <t>OGN-245</t>
        </is>
      </c>
      <c r="B147" s="26" t="inlineStr"/>
      <c r="C147" s="26" t="inlineStr">
        <is>
          <t>Seal of Unity</t>
        </is>
      </c>
      <c r="D147" s="26" t="inlineStr">
        <is>
          <t>Order</t>
        </is>
      </c>
      <c r="E147" s="26" t="inlineStr">
        <is>
          <t>Gear</t>
        </is>
      </c>
      <c r="F147" s="26" t="inlineStr">
        <is>
          <t>0</t>
        </is>
      </c>
      <c r="G147" s="26" t="inlineStr">
        <is>
          <t>0</t>
        </is>
      </c>
      <c r="H147" s="26" t="inlineStr">
        <is>
          <t>Epic</t>
        </is>
      </c>
      <c r="I147" s="26" t="inlineStr"/>
      <c r="J147" s="27" t="inlineStr">
        <is>
          <t>Exhaust: REACTION - ADD order. (Abilities that add resources can't be reacted to.)</t>
        </is>
      </c>
    </row>
    <row r="148" ht="15" customHeight="1">
      <c r="A148" s="26" t="inlineStr">
        <is>
          <t>OGN-246</t>
        </is>
      </c>
      <c r="B148" s="26" t="inlineStr"/>
      <c r="C148" s="26" t="inlineStr">
        <is>
          <t>Viktor - Leader</t>
        </is>
      </c>
      <c r="D148" s="26" t="inlineStr">
        <is>
          <t>Order</t>
        </is>
      </c>
      <c r="E148" s="26" t="inlineStr">
        <is>
          <t>Champion Unit</t>
        </is>
      </c>
      <c r="F148" s="26" t="inlineStr">
        <is>
          <t>4</t>
        </is>
      </c>
      <c r="G148" s="26" t="inlineStr">
        <is>
          <t>4</t>
        </is>
      </c>
      <c r="H148" s="26" t="inlineStr">
        <is>
          <t>Epic</t>
        </is>
      </c>
      <c r="I148" s="26" t="inlineStr">
        <is>
          <t>Viktor;Zaun</t>
        </is>
      </c>
      <c r="J148" s="27" t="inlineStr">
        <is>
          <t>When another non-Recruit unit you control dies, play a 1 might Recruit unit token into your base.</t>
        </is>
      </c>
    </row>
    <row r="149" ht="15" customHeight="1">
      <c r="A149" s="16" t="inlineStr">
        <is>
          <t>OGN-248</t>
        </is>
      </c>
      <c r="B149" s="16" t="inlineStr"/>
      <c r="C149" s="16" t="inlineStr">
        <is>
          <t>Icathian Rain</t>
        </is>
      </c>
      <c r="D149" s="16" t="inlineStr">
        <is>
          <t>Fury;Mind</t>
        </is>
      </c>
      <c r="E149" s="16" t="inlineStr">
        <is>
          <t>Signature Spell</t>
        </is>
      </c>
      <c r="F149" s="16" t="inlineStr">
        <is>
          <t>7</t>
        </is>
      </c>
      <c r="G149" s="16" t="inlineStr">
        <is>
          <t>0</t>
        </is>
      </c>
      <c r="H149" s="16" t="inlineStr">
        <is>
          <t>Epic</t>
        </is>
      </c>
      <c r="I149" s="16" t="inlineStr">
        <is>
          <t>Kai'Sa</t>
        </is>
      </c>
      <c r="J149" s="17" t="inlineStr">
        <is>
          <t>Do this 6 times: Deal 2 to a unit. (You can choose different units.)</t>
        </is>
      </c>
    </row>
    <row r="150" ht="15" customHeight="1">
      <c r="A150" s="16" t="inlineStr">
        <is>
          <t>OGN-252</t>
        </is>
      </c>
      <c r="B150" s="16" t="inlineStr"/>
      <c r="C150" s="16" t="inlineStr">
        <is>
          <t>Super Mega Death Rocket!</t>
        </is>
      </c>
      <c r="D150" s="16" t="inlineStr">
        <is>
          <t>Fury;Chaos</t>
        </is>
      </c>
      <c r="E150" s="16" t="inlineStr">
        <is>
          <t>Signature Spell</t>
        </is>
      </c>
      <c r="F150" s="16" t="inlineStr">
        <is>
          <t>4</t>
        </is>
      </c>
      <c r="G150" s="16" t="inlineStr">
        <is>
          <t>0</t>
        </is>
      </c>
      <c r="H150" s="16" t="inlineStr">
        <is>
          <t>Epic</t>
        </is>
      </c>
      <c r="I150" s="16" t="inlineStr">
        <is>
          <t>Jinx</t>
        </is>
      </c>
      <c r="J150" s="17" t="inlineStr">
        <is>
          <t>Deal 5 to a unit.
When you conquer, you may discard 1 to return this from your trash to your hand.</t>
        </is>
      </c>
    </row>
    <row r="151" ht="15" customHeight="1">
      <c r="A151" s="16" t="inlineStr">
        <is>
          <t>OGN-254</t>
        </is>
      </c>
      <c r="B151" s="16" t="inlineStr"/>
      <c r="C151" s="16" t="inlineStr">
        <is>
          <t>Noxian Guillotine</t>
        </is>
      </c>
      <c r="D151" s="16" t="inlineStr">
        <is>
          <t>Fury;Order</t>
        </is>
      </c>
      <c r="E151" s="16" t="inlineStr">
        <is>
          <t>Signature Spell</t>
        </is>
      </c>
      <c r="F151" s="16" t="inlineStr">
        <is>
          <t>4</t>
        </is>
      </c>
      <c r="G151" s="16" t="inlineStr">
        <is>
          <t>0</t>
        </is>
      </c>
      <c r="H151" s="16" t="inlineStr">
        <is>
          <t>Epic</t>
        </is>
      </c>
      <c r="I151" s="16" t="inlineStr">
        <is>
          <t>Darius</t>
        </is>
      </c>
      <c r="J151" s="17" t="inlineStr">
        <is>
          <t>ACTION (Play on your turn or in showdowns.)
Choose a unit. Kill it the next time it takes damage this turn.
LEGION - Kill it now instead. (Get the effect if you've played another card this turn.)</t>
        </is>
      </c>
    </row>
    <row r="152" ht="15" customHeight="1">
      <c r="A152" s="18" t="inlineStr">
        <is>
          <t>OGN-256</t>
        </is>
      </c>
      <c r="B152" s="18" t="inlineStr"/>
      <c r="C152" s="18" t="inlineStr">
        <is>
          <t>Fox-Fire</t>
        </is>
      </c>
      <c r="D152" s="18" t="inlineStr">
        <is>
          <t>Calm;Mind</t>
        </is>
      </c>
      <c r="E152" s="18" t="inlineStr">
        <is>
          <t>Signature Spell</t>
        </is>
      </c>
      <c r="F152" s="18" t="inlineStr">
        <is>
          <t>3</t>
        </is>
      </c>
      <c r="G152" s="18" t="inlineStr">
        <is>
          <t>0</t>
        </is>
      </c>
      <c r="H152" s="18" t="inlineStr">
        <is>
          <t>Epic</t>
        </is>
      </c>
      <c r="I152" s="18" t="inlineStr">
        <is>
          <t>Ahri</t>
        </is>
      </c>
      <c r="J152" s="19" t="inlineStr">
        <is>
          <t>HIDDEN (Hide now for 1 Rune to react with later for 0.)
ACTION (Play on your turn or in showdowns.)
Kill any number of units at a battlefield with total Might 4 or less.</t>
        </is>
      </c>
    </row>
    <row r="153" ht="15" customHeight="1">
      <c r="A153" s="18" t="inlineStr">
        <is>
          <t>OGN-258</t>
        </is>
      </c>
      <c r="B153" s="18" t="inlineStr"/>
      <c r="C153" s="18" t="inlineStr">
        <is>
          <t>Dragon's Rage</t>
        </is>
      </c>
      <c r="D153" s="18" t="inlineStr">
        <is>
          <t>Calm;Body</t>
        </is>
      </c>
      <c r="E153" s="18" t="inlineStr">
        <is>
          <t>Signature Spell</t>
        </is>
      </c>
      <c r="F153" s="18" t="inlineStr">
        <is>
          <t>4</t>
        </is>
      </c>
      <c r="G153" s="18" t="inlineStr">
        <is>
          <t>0</t>
        </is>
      </c>
      <c r="H153" s="18" t="inlineStr">
        <is>
          <t>Epic</t>
        </is>
      </c>
      <c r="I153" s="18" t="inlineStr">
        <is>
          <t>Lee Sin</t>
        </is>
      </c>
      <c r="J153" s="19" t="inlineStr">
        <is>
          <t>Move an enemy unit. Then choose another enemy unit at its destination. They deal damage equal to their Mights to each other.</t>
        </is>
      </c>
    </row>
    <row r="154" ht="15" customHeight="1">
      <c r="A154" s="18" t="inlineStr">
        <is>
          <t>OGN-260</t>
        </is>
      </c>
      <c r="B154" s="18" t="inlineStr"/>
      <c r="C154" s="18" t="inlineStr">
        <is>
          <t>Last Breath</t>
        </is>
      </c>
      <c r="D154" s="18" t="inlineStr">
        <is>
          <t>Calm;Chaos</t>
        </is>
      </c>
      <c r="E154" s="18" t="inlineStr">
        <is>
          <t>Signature Spell</t>
        </is>
      </c>
      <c r="F154" s="18" t="inlineStr">
        <is>
          <t>3</t>
        </is>
      </c>
      <c r="G154" s="18" t="inlineStr">
        <is>
          <t>0</t>
        </is>
      </c>
      <c r="H154" s="18" t="inlineStr">
        <is>
          <t>Epic</t>
        </is>
      </c>
      <c r="I154" s="18" t="inlineStr">
        <is>
          <t>Yasuo</t>
        </is>
      </c>
      <c r="J154" s="19" t="inlineStr">
        <is>
          <t>ACTION (Play on your turn or in showdowns.)Ready a friendly unit. It deals damage equal to its Might to an enemy at a battlefield.</t>
        </is>
      </c>
    </row>
    <row r="155" ht="15" customHeight="1">
      <c r="A155" s="18" t="inlineStr">
        <is>
          <t>OGN-262</t>
        </is>
      </c>
      <c r="B155" s="18" t="inlineStr"/>
      <c r="C155" s="18" t="inlineStr">
        <is>
          <t>Zenith Blade</t>
        </is>
      </c>
      <c r="D155" s="18" t="inlineStr">
        <is>
          <t>Calm;Order</t>
        </is>
      </c>
      <c r="E155" s="18" t="inlineStr">
        <is>
          <t>Signature Spell</t>
        </is>
      </c>
      <c r="F155" s="18" t="inlineStr">
        <is>
          <t>3</t>
        </is>
      </c>
      <c r="G155" s="18" t="inlineStr">
        <is>
          <t>0</t>
        </is>
      </c>
      <c r="H155" s="18" t="inlineStr">
        <is>
          <t>Epic</t>
        </is>
      </c>
      <c r="I155" s="18" t="inlineStr">
        <is>
          <t>Leona</t>
        </is>
      </c>
      <c r="J155" s="19" t="inlineStr">
        <is>
          <t>ACTION (Play on your turn or in showdowns.)Stun an enemy at a battlefield. You may move a friendly unit to that enemy unit's battlefield. (A stunned unit doesn't deal combat damage this turn.)</t>
        </is>
      </c>
    </row>
    <row r="156" ht="15" customHeight="1">
      <c r="A156" s="20" t="inlineStr">
        <is>
          <t>OGN-264</t>
        </is>
      </c>
      <c r="B156" s="20" t="inlineStr"/>
      <c r="C156" s="20" t="inlineStr">
        <is>
          <t>Guerilla Warfare</t>
        </is>
      </c>
      <c r="D156" s="20" t="inlineStr">
        <is>
          <t>Mind;Chaos</t>
        </is>
      </c>
      <c r="E156" s="20" t="inlineStr">
        <is>
          <t>Signature Spell</t>
        </is>
      </c>
      <c r="F156" s="20" t="inlineStr">
        <is>
          <t>2</t>
        </is>
      </c>
      <c r="G156" s="20" t="inlineStr">
        <is>
          <t>0</t>
        </is>
      </c>
      <c r="H156" s="20" t="inlineStr">
        <is>
          <t>Epic</t>
        </is>
      </c>
      <c r="I156" s="20" t="inlineStr">
        <is>
          <t>Teemo</t>
        </is>
      </c>
      <c r="J156" s="21" t="inlineStr">
        <is>
          <t>Return up to two cards with HIDDEN  from your trash to your hand. You can hide ignoring costs this turn.</t>
        </is>
      </c>
    </row>
    <row r="157" ht="15" customHeight="1">
      <c r="A157" s="20" t="inlineStr">
        <is>
          <t>OGN-266</t>
        </is>
      </c>
      <c r="B157" s="20" t="inlineStr"/>
      <c r="C157" s="20" t="inlineStr">
        <is>
          <t>Siphon Power</t>
        </is>
      </c>
      <c r="D157" s="20" t="inlineStr">
        <is>
          <t>Mind;Order</t>
        </is>
      </c>
      <c r="E157" s="20" t="inlineStr">
        <is>
          <t>Signature Spell</t>
        </is>
      </c>
      <c r="F157" s="20" t="inlineStr">
        <is>
          <t>2</t>
        </is>
      </c>
      <c r="G157" s="20" t="inlineStr">
        <is>
          <t>0</t>
        </is>
      </c>
      <c r="H157" s="20" t="inlineStr">
        <is>
          <t>Epic</t>
        </is>
      </c>
      <c r="I157" s="20" t="inlineStr">
        <is>
          <t>Viktor</t>
        </is>
      </c>
      <c r="J157" s="21" t="inlineStr">
        <is>
          <t>REACTION (Play any time, even before spells and abilities resolve.)Choose a battlefield. Give friendly units there +1 Might this turn and enemy units there -1 Might this turn, to a minimum of 1 Might.</t>
        </is>
      </c>
    </row>
    <row r="158" ht="15" customHeight="1">
      <c r="A158" s="22" t="inlineStr">
        <is>
          <t>OGN-268</t>
        </is>
      </c>
      <c r="B158" s="22" t="inlineStr"/>
      <c r="C158" s="22" t="inlineStr">
        <is>
          <t>Bullet Time</t>
        </is>
      </c>
      <c r="D158" s="22" t="inlineStr">
        <is>
          <t>Body;Chaos</t>
        </is>
      </c>
      <c r="E158" s="22" t="inlineStr">
        <is>
          <t>Signature Spell</t>
        </is>
      </c>
      <c r="F158" s="22" t="inlineStr">
        <is>
          <t>1</t>
        </is>
      </c>
      <c r="G158" s="22" t="inlineStr">
        <is>
          <t>0</t>
        </is>
      </c>
      <c r="H158" s="22" t="inlineStr">
        <is>
          <t>Epic</t>
        </is>
      </c>
      <c r="I158" s="22" t="inlineStr">
        <is>
          <t>Miss Fortune</t>
        </is>
      </c>
      <c r="J158" s="23" t="inlineStr">
        <is>
          <t>ACTION (Play on your turn or in showdowns.)
Pay any amount of rune to deal that much damage to all enemy units at a battlefield.</t>
        </is>
      </c>
    </row>
    <row r="159" ht="15" customHeight="1">
      <c r="A159" s="22" t="inlineStr">
        <is>
          <t>OGN-270</t>
        </is>
      </c>
      <c r="B159" s="22" t="inlineStr"/>
      <c r="C159" s="22" t="inlineStr">
        <is>
          <t>Showstopper</t>
        </is>
      </c>
      <c r="D159" s="22" t="inlineStr">
        <is>
          <t>Body</t>
        </is>
      </c>
      <c r="E159" s="22" t="inlineStr">
        <is>
          <t>Signature Spell</t>
        </is>
      </c>
      <c r="F159" s="22" t="inlineStr">
        <is>
          <t>1</t>
        </is>
      </c>
      <c r="G159" s="22" t="inlineStr">
        <is>
          <t>0</t>
        </is>
      </c>
      <c r="H159" s="22" t="inlineStr">
        <is>
          <t>Epic</t>
        </is>
      </c>
      <c r="I159" s="22" t="inlineStr">
        <is>
          <t>Sett</t>
        </is>
      </c>
      <c r="J159" s="23" t="inlineStr">
        <is>
          <t>Buff a friendly unit in your base, then move it to a battlefield. (If it doesn't have a buff, it gets a +1 Might buff.)</t>
        </is>
      </c>
    </row>
    <row r="160" ht="15" customHeight="1">
      <c r="A160" s="28" t="inlineStr">
        <is>
          <t>OGN-271</t>
        </is>
      </c>
      <c r="B160" s="28" t="inlineStr"/>
      <c r="C160" s="28" t="inlineStr">
        <is>
          <t>Recruit</t>
        </is>
      </c>
      <c r="D160" s="28" t="inlineStr">
        <is>
          <t>None</t>
        </is>
      </c>
      <c r="E160" s="28" t="inlineStr">
        <is>
          <t>Unit;Token</t>
        </is>
      </c>
      <c r="F160" s="28" t="inlineStr">
        <is>
          <t>0</t>
        </is>
      </c>
      <c r="G160" s="28" t="inlineStr">
        <is>
          <t>1</t>
        </is>
      </c>
      <c r="H160" s="28" t="inlineStr">
        <is>
          <t>Common</t>
        </is>
      </c>
      <c r="I160" s="28" t="inlineStr">
        <is>
          <t>Recruit</t>
        </is>
      </c>
      <c r="J160" s="29" t="inlineStr"/>
    </row>
    <row r="161" ht="15" customHeight="1">
      <c r="A161" s="28" t="inlineStr">
        <is>
          <t>OGN-272</t>
        </is>
      </c>
      <c r="B161" s="28" t="inlineStr"/>
      <c r="C161" s="28" t="inlineStr">
        <is>
          <t>Recruit</t>
        </is>
      </c>
      <c r="D161" s="28" t="inlineStr"/>
      <c r="E161" s="28" t="inlineStr"/>
      <c r="F161" s="28" t="inlineStr">
        <is>
          <t>0</t>
        </is>
      </c>
      <c r="G161" s="28" t="inlineStr">
        <is>
          <t>1</t>
        </is>
      </c>
      <c r="H161" s="28" t="inlineStr">
        <is>
          <t>Common</t>
        </is>
      </c>
      <c r="I161" s="28" t="inlineStr"/>
      <c r="J161" s="29" t="inlineStr"/>
    </row>
    <row r="162" ht="15" customHeight="1">
      <c r="A162" s="28" t="inlineStr">
        <is>
          <t>OGN-273</t>
        </is>
      </c>
      <c r="B162" s="28" t="inlineStr"/>
      <c r="C162" s="28" t="inlineStr">
        <is>
          <t>Recruit</t>
        </is>
      </c>
      <c r="D162" s="28" t="inlineStr"/>
      <c r="E162" s="28" t="inlineStr"/>
      <c r="F162" s="28" t="inlineStr">
        <is>
          <t>0</t>
        </is>
      </c>
      <c r="G162" s="28" t="inlineStr">
        <is>
          <t>1</t>
        </is>
      </c>
      <c r="H162" s="28" t="inlineStr">
        <is>
          <t>Common</t>
        </is>
      </c>
      <c r="I162" s="28" t="inlineStr"/>
      <c r="J162" s="29" t="inlineStr"/>
    </row>
    <row r="163" ht="15" customHeight="1">
      <c r="A163" s="28" t="inlineStr">
        <is>
          <t>OGN-274</t>
        </is>
      </c>
      <c r="B163" s="28" t="inlineStr"/>
      <c r="C163" s="28" t="inlineStr">
        <is>
          <t>Sprite</t>
        </is>
      </c>
      <c r="D163" s="28" t="inlineStr"/>
      <c r="E163" s="28" t="inlineStr">
        <is>
          <t>Unit;Token</t>
        </is>
      </c>
      <c r="F163" s="28" t="inlineStr">
        <is>
          <t>0</t>
        </is>
      </c>
      <c r="G163" s="28" t="inlineStr">
        <is>
          <t>3</t>
        </is>
      </c>
      <c r="H163" s="28" t="inlineStr">
        <is>
          <t>Common</t>
        </is>
      </c>
      <c r="I163" s="28" t="inlineStr">
        <is>
          <t>Fae</t>
        </is>
      </c>
      <c r="J163" s="29" t="inlineStr">
        <is>
          <t>TEMPORARY (Kill me at the start of your Beginning Phase before scoring.)</t>
        </is>
      </c>
    </row>
    <row r="164" ht="15" customHeight="1">
      <c r="A164" s="30" t="inlineStr">
        <is>
          <t>OGN-281</t>
        </is>
      </c>
      <c r="B164" s="30" t="inlineStr"/>
      <c r="C164" s="30" t="inlineStr">
        <is>
          <t>Hallowed Tomb</t>
        </is>
      </c>
      <c r="D164" s="30" t="inlineStr">
        <is>
          <t>Colorless</t>
        </is>
      </c>
      <c r="E164" s="30" t="inlineStr">
        <is>
          <t>Battlefield</t>
        </is>
      </c>
      <c r="F164" s="30" t="inlineStr">
        <is>
          <t>0</t>
        </is>
      </c>
      <c r="G164" s="30" t="inlineStr">
        <is>
          <t>0</t>
        </is>
      </c>
      <c r="H164" s="30" t="inlineStr">
        <is>
          <t>Uncommon</t>
        </is>
      </c>
      <c r="I164" s="30" t="inlineStr"/>
      <c r="J164" s="31" t="inlineStr">
        <is>
          <t>When you hold here, you may return your Chosen Champion from your trash to your Champion Zone if it is empty.</t>
        </is>
      </c>
    </row>
    <row r="165" ht="15" customHeight="1">
      <c r="A165" s="30" t="inlineStr">
        <is>
          <t>OGN-283</t>
        </is>
      </c>
      <c r="B165" s="30" t="inlineStr"/>
      <c r="C165" s="30" t="inlineStr">
        <is>
          <t>Navori Fighting Pit</t>
        </is>
      </c>
      <c r="D165" s="30" t="inlineStr">
        <is>
          <t>Colorless</t>
        </is>
      </c>
      <c r="E165" s="30" t="inlineStr">
        <is>
          <t>Battlefield</t>
        </is>
      </c>
      <c r="F165" s="30" t="inlineStr">
        <is>
          <t>0</t>
        </is>
      </c>
      <c r="G165" s="30" t="inlineStr">
        <is>
          <t>0</t>
        </is>
      </c>
      <c r="H165" s="30" t="inlineStr">
        <is>
          <t>Uncommon</t>
        </is>
      </c>
      <c r="I165" s="30" t="inlineStr"/>
      <c r="J165" s="31" t="inlineStr">
        <is>
          <t>When you hold here, buff a unit here. (If it doesn't have a buff, it gets a +1 Might buff.)</t>
        </is>
      </c>
    </row>
    <row r="166" ht="15" customHeight="1">
      <c r="A166" s="30" t="inlineStr">
        <is>
          <t>OGN-288</t>
        </is>
      </c>
      <c r="B166" s="30" t="inlineStr"/>
      <c r="C166" s="30" t="inlineStr">
        <is>
          <t>Startipped Peak</t>
        </is>
      </c>
      <c r="D166" s="30" t="inlineStr">
        <is>
          <t>Colorless</t>
        </is>
      </c>
      <c r="E166" s="30" t="inlineStr">
        <is>
          <t>Battlefield</t>
        </is>
      </c>
      <c r="F166" s="30" t="inlineStr">
        <is>
          <t>0</t>
        </is>
      </c>
      <c r="G166" s="30" t="inlineStr">
        <is>
          <t>0</t>
        </is>
      </c>
      <c r="H166" s="30" t="inlineStr">
        <is>
          <t>Uncommon</t>
        </is>
      </c>
      <c r="I166" s="30" t="inlineStr"/>
      <c r="J166" s="31" t="inlineStr">
        <is>
          <t>When you hold here, you may channel 1 rune exhausted.</t>
        </is>
      </c>
    </row>
    <row r="167" ht="15" customHeight="1">
      <c r="A167" s="30" t="inlineStr">
        <is>
          <t>OGN-290</t>
        </is>
      </c>
      <c r="B167" s="30" t="inlineStr"/>
      <c r="C167" s="30" t="inlineStr">
        <is>
          <t>The Arena's Greatest</t>
        </is>
      </c>
      <c r="D167" s="30" t="inlineStr">
        <is>
          <t>Colorless</t>
        </is>
      </c>
      <c r="E167" s="30" t="inlineStr">
        <is>
          <t>Battlefield</t>
        </is>
      </c>
      <c r="F167" s="30" t="inlineStr">
        <is>
          <t>0</t>
        </is>
      </c>
      <c r="G167" s="30" t="inlineStr">
        <is>
          <t>0</t>
        </is>
      </c>
      <c r="H167" s="30" t="inlineStr">
        <is>
          <t>Uncommon</t>
        </is>
      </c>
      <c r="I167" s="30" t="inlineStr"/>
      <c r="J167" s="31" t="inlineStr">
        <is>
          <t>At the start of each player's first Beginning Phase, that player gains 1 point.</t>
        </is>
      </c>
    </row>
    <row r="168" ht="15" customHeight="1">
      <c r="A168" s="30" t="inlineStr">
        <is>
          <t>OGN-291</t>
        </is>
      </c>
      <c r="B168" s="30" t="inlineStr"/>
      <c r="C168" s="30" t="inlineStr">
        <is>
          <t>The Candlelit Sanctum</t>
        </is>
      </c>
      <c r="D168" s="30" t="inlineStr">
        <is>
          <t>Colorless</t>
        </is>
      </c>
      <c r="E168" s="30" t="inlineStr">
        <is>
          <t>Battlefield</t>
        </is>
      </c>
      <c r="F168" s="30" t="inlineStr">
        <is>
          <t>0</t>
        </is>
      </c>
      <c r="G168" s="30" t="inlineStr">
        <is>
          <t>0</t>
        </is>
      </c>
      <c r="H168" s="30" t="inlineStr">
        <is>
          <t>Uncommon</t>
        </is>
      </c>
      <c r="I168" s="30" t="inlineStr"/>
      <c r="J168" s="31" t="inlineStr">
        <is>
          <t>When you conquer here, look at the top two cards of your Main Deck. You may recycle one or both of them. Put those you don't back in any order.</t>
        </is>
      </c>
    </row>
    <row r="169" ht="15" customHeight="1">
      <c r="A169" s="30" t="inlineStr">
        <is>
          <t>OGN-292</t>
        </is>
      </c>
      <c r="B169" s="30" t="inlineStr"/>
      <c r="C169" s="30" t="inlineStr">
        <is>
          <t>The Dreaming Tree</t>
        </is>
      </c>
      <c r="D169" s="30" t="inlineStr">
        <is>
          <t>Colorless</t>
        </is>
      </c>
      <c r="E169" s="30" t="inlineStr">
        <is>
          <t>Battlefield</t>
        </is>
      </c>
      <c r="F169" s="30" t="inlineStr">
        <is>
          <t>0</t>
        </is>
      </c>
      <c r="G169" s="30" t="inlineStr">
        <is>
          <t>0</t>
        </is>
      </c>
      <c r="H169" s="30" t="inlineStr">
        <is>
          <t>Uncommon</t>
        </is>
      </c>
      <c r="I169" s="30" t="inlineStr"/>
      <c r="J169" s="31" t="inlineStr">
        <is>
          <t>The first time you choose a friendly unit with a spell here each turn, draw 1.</t>
        </is>
      </c>
    </row>
    <row r="170" ht="15" customHeight="1">
      <c r="A170" s="30" t="inlineStr">
        <is>
          <t>OGN-296</t>
        </is>
      </c>
      <c r="B170" s="30" t="inlineStr"/>
      <c r="C170" s="30" t="inlineStr">
        <is>
          <t>Void Gate</t>
        </is>
      </c>
      <c r="D170" s="30" t="inlineStr">
        <is>
          <t>Colorless</t>
        </is>
      </c>
      <c r="E170" s="30" t="inlineStr">
        <is>
          <t>Battlefield</t>
        </is>
      </c>
      <c r="F170" s="30" t="inlineStr">
        <is>
          <t>0</t>
        </is>
      </c>
      <c r="G170" s="30" t="inlineStr">
        <is>
          <t>0</t>
        </is>
      </c>
      <c r="H170" s="30" t="inlineStr">
        <is>
          <t>Uncommon</t>
        </is>
      </c>
      <c r="I170" s="30" t="inlineStr"/>
      <c r="J170" s="31" t="inlineStr">
        <is>
          <t>Spells and abilities affecting units here each deal 1 Bonus Damage. (Each instance of damage the spell deals is increased by 1.)</t>
        </is>
      </c>
    </row>
    <row r="171" ht="15" customHeight="1">
      <c r="A171" s="30" t="inlineStr">
        <is>
          <t>OGN-297</t>
        </is>
      </c>
      <c r="B171" s="30" t="inlineStr"/>
      <c r="C171" s="30" t="inlineStr">
        <is>
          <t>Windswept Hillock</t>
        </is>
      </c>
      <c r="D171" s="30" t="inlineStr">
        <is>
          <t>Colorless</t>
        </is>
      </c>
      <c r="E171" s="30" t="inlineStr">
        <is>
          <t>Battlefield</t>
        </is>
      </c>
      <c r="F171" s="30" t="inlineStr">
        <is>
          <t>0</t>
        </is>
      </c>
      <c r="G171" s="30" t="inlineStr">
        <is>
          <t>0</t>
        </is>
      </c>
      <c r="H171" s="30" t="inlineStr">
        <is>
          <t>Uncommon</t>
        </is>
      </c>
      <c r="I171" s="30" t="inlineStr"/>
      <c r="J171" s="31" t="inlineStr">
        <is>
          <t>Units here have GANKING. (They can move from battlefield to battlefield.)</t>
        </is>
      </c>
    </row>
    <row r="172" ht="15" customHeight="1">
      <c r="A172" s="16" t="inlineStr">
        <is>
          <t>OGS-001</t>
        </is>
      </c>
      <c r="B172" s="16" t="inlineStr"/>
      <c r="C172" s="16" t="inlineStr">
        <is>
          <t>Annie - Fiery</t>
        </is>
      </c>
      <c r="D172" s="16" t="inlineStr">
        <is>
          <t>Fury</t>
        </is>
      </c>
      <c r="E172" s="16" t="inlineStr">
        <is>
          <t>Champion Unit</t>
        </is>
      </c>
      <c r="F172" s="16" t="inlineStr">
        <is>
          <t>5</t>
        </is>
      </c>
      <c r="G172" s="16" t="inlineStr">
        <is>
          <t>4</t>
        </is>
      </c>
      <c r="H172" s="16" t="inlineStr">
        <is>
          <t>Epic</t>
        </is>
      </c>
      <c r="I172" s="16" t="inlineStr">
        <is>
          <t>Annie</t>
        </is>
      </c>
      <c r="J172" s="17" t="inlineStr">
        <is>
          <t>Your spells and abilities deal 1 Bonus Damage.
(Each instance of damage they deal is increased by 1.)</t>
        </is>
      </c>
    </row>
    <row r="173" ht="15" customHeight="1">
      <c r="A173" s="16" t="inlineStr">
        <is>
          <t>OGS-002</t>
        </is>
      </c>
      <c r="B173" s="16" t="inlineStr"/>
      <c r="C173" s="16" t="inlineStr">
        <is>
          <t>Firestorm</t>
        </is>
      </c>
      <c r="D173" s="16" t="inlineStr">
        <is>
          <t>Fury</t>
        </is>
      </c>
      <c r="E173" s="16" t="inlineStr">
        <is>
          <t>Spell</t>
        </is>
      </c>
      <c r="F173" s="16" t="inlineStr">
        <is>
          <t>6</t>
        </is>
      </c>
      <c r="G173" s="16" t="inlineStr">
        <is>
          <t>0</t>
        </is>
      </c>
      <c r="H173" s="16" t="inlineStr">
        <is>
          <t>Uncommon</t>
        </is>
      </c>
      <c r="I173" s="16" t="inlineStr"/>
      <c r="J173" s="17" t="inlineStr">
        <is>
          <t>Deal 3 to all enemy units at a battlefield.</t>
        </is>
      </c>
    </row>
    <row r="174" ht="15" customHeight="1">
      <c r="A174" s="16" t="inlineStr">
        <is>
          <t>OGS-003</t>
        </is>
      </c>
      <c r="B174" s="16" t="inlineStr"/>
      <c r="C174" s="16" t="inlineStr">
        <is>
          <t>Incinerate</t>
        </is>
      </c>
      <c r="D174" s="16" t="inlineStr">
        <is>
          <t>Fury</t>
        </is>
      </c>
      <c r="E174" s="16" t="inlineStr">
        <is>
          <t>Spell</t>
        </is>
      </c>
      <c r="F174" s="16" t="inlineStr">
        <is>
          <t>2</t>
        </is>
      </c>
      <c r="G174" s="16" t="inlineStr">
        <is>
          <t>0</t>
        </is>
      </c>
      <c r="H174" s="16" t="inlineStr">
        <is>
          <t>Common</t>
        </is>
      </c>
      <c r="I174" s="16" t="inlineStr"/>
      <c r="J174" s="17" t="inlineStr">
        <is>
          <t>ACTION (play on your turn or in showdowns.)
Deal 2 to a unit at a battlefield.</t>
        </is>
      </c>
    </row>
    <row r="175" ht="15" customHeight="1">
      <c r="A175" s="18" t="inlineStr">
        <is>
          <t>OGS-004</t>
        </is>
      </c>
      <c r="B175" s="18" t="inlineStr"/>
      <c r="C175" s="18" t="inlineStr">
        <is>
          <t>Master Yi - Meditative</t>
        </is>
      </c>
      <c r="D175" s="18" t="inlineStr">
        <is>
          <t>Calm</t>
        </is>
      </c>
      <c r="E175" s="18" t="inlineStr">
        <is>
          <t>Champion Unit</t>
        </is>
      </c>
      <c r="F175" s="18" t="inlineStr">
        <is>
          <t>5</t>
        </is>
      </c>
      <c r="G175" s="18" t="inlineStr">
        <is>
          <t>4</t>
        </is>
      </c>
      <c r="H175" s="18" t="inlineStr">
        <is>
          <t>Rare</t>
        </is>
      </c>
      <c r="I175" s="18" t="inlineStr">
        <is>
          <t>Master Yi;Ionia</t>
        </is>
      </c>
      <c r="J175" s="19" t="inlineStr">
        <is>
          <t>While you have 8+ runes, I have +4 Might.</t>
        </is>
      </c>
    </row>
    <row r="176" ht="15" customHeight="1">
      <c r="A176" s="18" t="inlineStr">
        <is>
          <t>OGS-005</t>
        </is>
      </c>
      <c r="B176" s="18" t="inlineStr"/>
      <c r="C176" s="18" t="inlineStr">
        <is>
          <t>Zephyr Sage</t>
        </is>
      </c>
      <c r="D176" s="18" t="inlineStr">
        <is>
          <t>Calm</t>
        </is>
      </c>
      <c r="E176" s="18" t="inlineStr">
        <is>
          <t>Unit</t>
        </is>
      </c>
      <c r="F176" s="18" t="inlineStr">
        <is>
          <t>6</t>
        </is>
      </c>
      <c r="G176" s="18" t="inlineStr">
        <is>
          <t>6</t>
        </is>
      </c>
      <c r="H176" s="18" t="inlineStr">
        <is>
          <t>Uncommon</t>
        </is>
      </c>
      <c r="I176" s="18" t="inlineStr">
        <is>
          <t>Ionia;Bird</t>
        </is>
      </c>
      <c r="J176" s="19" t="inlineStr">
        <is>
          <t>SHIELD (+1 Might while I'm a defender.)</t>
        </is>
      </c>
    </row>
    <row r="177" ht="15" customHeight="1">
      <c r="A177" s="20" t="inlineStr">
        <is>
          <t>OGS-006</t>
        </is>
      </c>
      <c r="B177" s="20" t="inlineStr"/>
      <c r="C177" s="20" t="inlineStr">
        <is>
          <t>Lux - Illuminated</t>
        </is>
      </c>
      <c r="D177" s="20" t="inlineStr">
        <is>
          <t>Mind</t>
        </is>
      </c>
      <c r="E177" s="20" t="inlineStr">
        <is>
          <t>Champion Unit</t>
        </is>
      </c>
      <c r="F177" s="20" t="inlineStr">
        <is>
          <t>6</t>
        </is>
      </c>
      <c r="G177" s="20" t="inlineStr">
        <is>
          <t>5</t>
        </is>
      </c>
      <c r="H177" s="20" t="inlineStr">
        <is>
          <t>Rare</t>
        </is>
      </c>
      <c r="I177" s="20" t="inlineStr">
        <is>
          <t>Lux;Demacia</t>
        </is>
      </c>
      <c r="J177" s="21" t="inlineStr">
        <is>
          <t>When you play a spell that costs 5 or more, give me +3 Might this turn.</t>
        </is>
      </c>
    </row>
    <row r="178" ht="15" customHeight="1">
      <c r="A178" s="22" t="inlineStr">
        <is>
          <t>OGS-007</t>
        </is>
      </c>
      <c r="B178" s="22" t="inlineStr"/>
      <c r="C178" s="22" t="inlineStr">
        <is>
          <t>Garen - Rugged</t>
        </is>
      </c>
      <c r="D178" s="22" t="inlineStr">
        <is>
          <t>Body</t>
        </is>
      </c>
      <c r="E178" s="22" t="inlineStr">
        <is>
          <t>Champion Unit</t>
        </is>
      </c>
      <c r="F178" s="22" t="inlineStr">
        <is>
          <t>6</t>
        </is>
      </c>
      <c r="G178" s="22" t="inlineStr">
        <is>
          <t>5</t>
        </is>
      </c>
      <c r="H178" s="22" t="inlineStr">
        <is>
          <t>Rare</t>
        </is>
      </c>
      <c r="I178" s="22" t="inlineStr">
        <is>
          <t>Garen;Demacia;Elite</t>
        </is>
      </c>
      <c r="J178" s="23" t="inlineStr">
        <is>
          <t>ASSAULT 2, SHIELD 2 (+2 Might while I'm an attacker or defender.)</t>
        </is>
      </c>
    </row>
    <row r="179" ht="15" customHeight="1">
      <c r="A179" s="22" t="inlineStr">
        <is>
          <t>OGS-008</t>
        </is>
      </c>
      <c r="B179" s="22" t="inlineStr"/>
      <c r="C179" s="22" t="inlineStr">
        <is>
          <t>Gentlemen's Duel</t>
        </is>
      </c>
      <c r="D179" s="22" t="inlineStr">
        <is>
          <t>Body</t>
        </is>
      </c>
      <c r="E179" s="22" t="inlineStr">
        <is>
          <t>Spell</t>
        </is>
      </c>
      <c r="F179" s="22" t="inlineStr">
        <is>
          <t>6</t>
        </is>
      </c>
      <c r="G179" s="22" t="inlineStr">
        <is>
          <t>0</t>
        </is>
      </c>
      <c r="H179" s="22" t="inlineStr">
        <is>
          <t>Common</t>
        </is>
      </c>
      <c r="I179" s="22" t="inlineStr"/>
      <c r="J179" s="23" t="inlineStr">
        <is>
          <t>ACTION (Play on your turn or in showdowns.)
Give a friendly unit +3 Might this turn. Then, choose an enemy unit. They deal damage equal to their Mights to each other.</t>
        </is>
      </c>
    </row>
    <row r="180" ht="15" customHeight="1">
      <c r="A180" s="22" t="inlineStr">
        <is>
          <t>OGS-009</t>
        </is>
      </c>
      <c r="B180" s="22" t="inlineStr"/>
      <c r="C180" s="22" t="inlineStr">
        <is>
          <t>Master Yi - Honed</t>
        </is>
      </c>
      <c r="D180" s="22" t="inlineStr">
        <is>
          <t>Body</t>
        </is>
      </c>
      <c r="E180" s="22" t="inlineStr">
        <is>
          <t>Champion Unit</t>
        </is>
      </c>
      <c r="F180" s="22" t="inlineStr">
        <is>
          <t>7</t>
        </is>
      </c>
      <c r="G180" s="22" t="inlineStr">
        <is>
          <t>6</t>
        </is>
      </c>
      <c r="H180" s="22" t="inlineStr">
        <is>
          <t>Epic</t>
        </is>
      </c>
      <c r="I180" s="22" t="inlineStr">
        <is>
          <t>Master Yi;Ionia</t>
        </is>
      </c>
      <c r="J180" s="23" t="inlineStr">
        <is>
          <t>GANKING (I can move from battlefield to battlefield.)
I enter ready.</t>
        </is>
      </c>
    </row>
    <row r="181" ht="15" customHeight="1">
      <c r="A181" s="24" t="inlineStr">
        <is>
          <t>OGS-010</t>
        </is>
      </c>
      <c r="B181" s="24" t="inlineStr"/>
      <c r="C181" s="24" t="inlineStr">
        <is>
          <t>Annie - Stubborn</t>
        </is>
      </c>
      <c r="D181" s="24" t="inlineStr">
        <is>
          <t>Chaos</t>
        </is>
      </c>
      <c r="E181" s="24" t="inlineStr">
        <is>
          <t>Champion Unit</t>
        </is>
      </c>
      <c r="F181" s="24" t="inlineStr">
        <is>
          <t>4</t>
        </is>
      </c>
      <c r="G181" s="24" t="inlineStr">
        <is>
          <t>3</t>
        </is>
      </c>
      <c r="H181" s="24" t="inlineStr">
        <is>
          <t>Rare</t>
        </is>
      </c>
      <c r="I181" s="24" t="inlineStr">
        <is>
          <t>Annie;Noxus</t>
        </is>
      </c>
      <c r="J181" s="25" t="inlineStr">
        <is>
          <t>When you play me, return a spell from your trash to your hand.</t>
        </is>
      </c>
    </row>
    <row r="182" ht="15" customHeight="1">
      <c r="A182" s="24" t="inlineStr">
        <is>
          <t>OGS-011</t>
        </is>
      </c>
      <c r="B182" s="24" t="inlineStr"/>
      <c r="C182" s="24" t="inlineStr">
        <is>
          <t>Flash</t>
        </is>
      </c>
      <c r="D182" s="24" t="inlineStr">
        <is>
          <t>Chaos</t>
        </is>
      </c>
      <c r="E182" s="24" t="inlineStr">
        <is>
          <t>Spell</t>
        </is>
      </c>
      <c r="F182" s="24" t="inlineStr">
        <is>
          <t>2</t>
        </is>
      </c>
      <c r="G182" s="24" t="inlineStr">
        <is>
          <t>0</t>
        </is>
      </c>
      <c r="H182" s="24" t="inlineStr">
        <is>
          <t>Common</t>
        </is>
      </c>
      <c r="I182" s="24" t="inlineStr"/>
      <c r="J182" s="25" t="inlineStr">
        <is>
          <t>REACTION (Play at any time, even before spells and abilities resolve.)Move up to 2 friendly units to base.</t>
        </is>
      </c>
    </row>
    <row r="183" ht="15" customHeight="1">
      <c r="A183" s="26" t="inlineStr">
        <is>
          <t>OGS-012</t>
        </is>
      </c>
      <c r="B183" s="26" t="inlineStr"/>
      <c r="C183" s="26" t="inlineStr">
        <is>
          <t>Blast of Power</t>
        </is>
      </c>
      <c r="D183" s="26" t="inlineStr">
        <is>
          <t>Order</t>
        </is>
      </c>
      <c r="E183" s="26" t="inlineStr">
        <is>
          <t>Spell</t>
        </is>
      </c>
      <c r="F183" s="26" t="inlineStr">
        <is>
          <t>6</t>
        </is>
      </c>
      <c r="G183" s="26" t="inlineStr">
        <is>
          <t>0</t>
        </is>
      </c>
      <c r="H183" s="26" t="inlineStr">
        <is>
          <t>Common</t>
        </is>
      </c>
      <c r="I183" s="26" t="inlineStr"/>
      <c r="J183" s="27" t="inlineStr">
        <is>
          <t>ACTION (Play on your turn or in showdowns.)
Kill a unit at a battlefield.</t>
        </is>
      </c>
    </row>
    <row r="184" ht="15" customHeight="1">
      <c r="A184" s="26" t="inlineStr">
        <is>
          <t>OGS-013</t>
        </is>
      </c>
      <c r="B184" s="26" t="inlineStr"/>
      <c r="C184" s="26" t="inlineStr">
        <is>
          <t>Garen - Commander</t>
        </is>
      </c>
      <c r="D184" s="26" t="inlineStr">
        <is>
          <t>Order</t>
        </is>
      </c>
      <c r="E184" s="26" t="inlineStr">
        <is>
          <t>Champion Unit</t>
        </is>
      </c>
      <c r="F184" s="26" t="inlineStr">
        <is>
          <t>6</t>
        </is>
      </c>
      <c r="G184" s="26" t="inlineStr">
        <is>
          <t>5</t>
        </is>
      </c>
      <c r="H184" s="26" t="inlineStr">
        <is>
          <t>Epic</t>
        </is>
      </c>
      <c r="I184" s="26" t="inlineStr">
        <is>
          <t>Garen;Demacia;Elite</t>
        </is>
      </c>
      <c r="J184" s="27" t="inlineStr">
        <is>
          <t>Other friendly units have +1 Might here.</t>
        </is>
      </c>
    </row>
    <row r="185" ht="15" customHeight="1">
      <c r="A185" s="26" t="inlineStr">
        <is>
          <t>OGS-014</t>
        </is>
      </c>
      <c r="B185" s="26" t="inlineStr"/>
      <c r="C185" s="26" t="inlineStr">
        <is>
          <t>Lux - Crownguard</t>
        </is>
      </c>
      <c r="D185" s="26" t="inlineStr">
        <is>
          <t>Order</t>
        </is>
      </c>
      <c r="E185" s="26" t="inlineStr">
        <is>
          <t>Champion Unit</t>
        </is>
      </c>
      <c r="F185" s="26" t="inlineStr">
        <is>
          <t>4</t>
        </is>
      </c>
      <c r="G185" s="26" t="inlineStr">
        <is>
          <t>2</t>
        </is>
      </c>
      <c r="H185" s="26" t="inlineStr">
        <is>
          <t>Epic</t>
        </is>
      </c>
      <c r="I185" s="26" t="inlineStr">
        <is>
          <t>Lux;Demacia</t>
        </is>
      </c>
      <c r="J185" s="27" t="inlineStr">
        <is>
          <t>Exhaust: REACTION - ADD 2. Use only to play spells. 
(Abilities that add resources can't be reacted to.)</t>
        </is>
      </c>
    </row>
    <row r="186" ht="15" customHeight="1">
      <c r="A186" s="26" t="inlineStr">
        <is>
          <t>OGS-015</t>
        </is>
      </c>
      <c r="B186" s="26" t="inlineStr"/>
      <c r="C186" s="26" t="inlineStr">
        <is>
          <t>Recruit the Vanguard</t>
        </is>
      </c>
      <c r="D186" s="26" t="inlineStr">
        <is>
          <t>Order</t>
        </is>
      </c>
      <c r="E186" s="26" t="inlineStr">
        <is>
          <t>Spell</t>
        </is>
      </c>
      <c r="F186" s="26" t="inlineStr">
        <is>
          <t>6</t>
        </is>
      </c>
      <c r="G186" s="26" t="inlineStr">
        <is>
          <t>0</t>
        </is>
      </c>
      <c r="H186" s="26" t="inlineStr">
        <is>
          <t>Uncommon</t>
        </is>
      </c>
      <c r="I186" s="26" t="inlineStr"/>
      <c r="J186" s="27" t="inlineStr">
        <is>
          <t>ACTION (Play on your turn or in showdowns.)
Play four 1 Might Recruit unit tokens. (They can be played to your base or to battlefields you control.)</t>
        </is>
      </c>
    </row>
    <row r="187" ht="15" customHeight="1">
      <c r="A187" s="26" t="inlineStr">
        <is>
          <t>OGS-016</t>
        </is>
      </c>
      <c r="B187" s="26" t="inlineStr"/>
      <c r="C187" s="26" t="inlineStr">
        <is>
          <t>Vanguard Attendant</t>
        </is>
      </c>
      <c r="D187" s="26" t="inlineStr">
        <is>
          <t>Order</t>
        </is>
      </c>
      <c r="E187" s="26" t="inlineStr">
        <is>
          <t>Unit</t>
        </is>
      </c>
      <c r="F187" s="26" t="inlineStr">
        <is>
          <t>6</t>
        </is>
      </c>
      <c r="G187" s="26" t="inlineStr">
        <is>
          <t>5</t>
        </is>
      </c>
      <c r="H187" s="26" t="inlineStr">
        <is>
          <t>Common</t>
        </is>
      </c>
      <c r="I187" s="26" t="inlineStr">
        <is>
          <t>Demacia;Elite</t>
        </is>
      </c>
      <c r="J187" s="27" t="inlineStr">
        <is>
          <t>I enter ready.</t>
        </is>
      </c>
    </row>
    <row r="188" ht="15" customHeight="1">
      <c r="A188" s="16" t="inlineStr">
        <is>
          <t>OGS-017</t>
        </is>
      </c>
      <c r="B188" s="16" t="inlineStr"/>
      <c r="C188" s="16" t="inlineStr">
        <is>
          <t>Annie - Dark Child (Starter)</t>
        </is>
      </c>
      <c r="D188" s="16" t="inlineStr">
        <is>
          <t>Fury;Chaos</t>
        </is>
      </c>
      <c r="E188" s="16" t="inlineStr">
        <is>
          <t>Legend</t>
        </is>
      </c>
      <c r="F188" s="16" t="inlineStr">
        <is>
          <t>0</t>
        </is>
      </c>
      <c r="G188" s="16" t="inlineStr">
        <is>
          <t>0</t>
        </is>
      </c>
      <c r="H188" s="16" t="inlineStr">
        <is>
          <t>Rare</t>
        </is>
      </c>
      <c r="I188" s="16" t="inlineStr">
        <is>
          <t>Annie</t>
        </is>
      </c>
      <c r="J188" s="17" t="inlineStr">
        <is>
          <t>At the end of your turn, ready 2 runes.</t>
        </is>
      </c>
    </row>
    <row r="189" ht="15" customHeight="1">
      <c r="A189" s="16" t="inlineStr">
        <is>
          <t>OGS-018</t>
        </is>
      </c>
      <c r="B189" s="16" t="inlineStr"/>
      <c r="C189" s="16" t="inlineStr">
        <is>
          <t>Tibbers</t>
        </is>
      </c>
      <c r="D189" s="16" t="inlineStr">
        <is>
          <t>Fury;Chaos</t>
        </is>
      </c>
      <c r="E189" s="16" t="inlineStr">
        <is>
          <t>Signature Unit</t>
        </is>
      </c>
      <c r="F189" s="16" t="inlineStr">
        <is>
          <t>8</t>
        </is>
      </c>
      <c r="G189" s="16" t="inlineStr">
        <is>
          <t>7</t>
        </is>
      </c>
      <c r="H189" s="16" t="inlineStr">
        <is>
          <t>Epic</t>
        </is>
      </c>
      <c r="I189" s="16" t="inlineStr">
        <is>
          <t>Annie</t>
        </is>
      </c>
      <c r="J189" s="17" t="inlineStr">
        <is>
          <t>When you play me, deal 3 damage to all units at battlefields.</t>
        </is>
      </c>
    </row>
    <row r="190" ht="15" customHeight="1">
      <c r="A190" s="18" t="inlineStr">
        <is>
          <t>OGS-019</t>
        </is>
      </c>
      <c r="B190" s="18" t="inlineStr"/>
      <c r="C190" s="18" t="inlineStr">
        <is>
          <t>Master Yi - Wuju Bladesman (Starter)</t>
        </is>
      </c>
      <c r="D190" s="18" t="inlineStr">
        <is>
          <t>Calm;Body</t>
        </is>
      </c>
      <c r="E190" s="18" t="inlineStr">
        <is>
          <t>Legend</t>
        </is>
      </c>
      <c r="F190" s="18" t="inlineStr">
        <is>
          <t>0</t>
        </is>
      </c>
      <c r="G190" s="18" t="inlineStr">
        <is>
          <t>0</t>
        </is>
      </c>
      <c r="H190" s="18" t="inlineStr">
        <is>
          <t>Rare</t>
        </is>
      </c>
      <c r="I190" s="18" t="inlineStr">
        <is>
          <t>Master Yi</t>
        </is>
      </c>
      <c r="J190" s="19" t="inlineStr">
        <is>
          <t>While a friendly unit defends alone, it gets +2 Might.</t>
        </is>
      </c>
    </row>
    <row r="191" ht="15" customHeight="1">
      <c r="A191" s="18" t="inlineStr">
        <is>
          <t>OGS-020</t>
        </is>
      </c>
      <c r="B191" s="18" t="inlineStr"/>
      <c r="C191" s="18" t="inlineStr">
        <is>
          <t>Highlander</t>
        </is>
      </c>
      <c r="D191" s="18" t="inlineStr">
        <is>
          <t>Calm;Body</t>
        </is>
      </c>
      <c r="E191" s="18" t="inlineStr">
        <is>
          <t>Signature Spell</t>
        </is>
      </c>
      <c r="F191" s="18" t="inlineStr">
        <is>
          <t>4</t>
        </is>
      </c>
      <c r="G191" s="18" t="inlineStr">
        <is>
          <t>0</t>
        </is>
      </c>
      <c r="H191" s="18" t="inlineStr">
        <is>
          <t>Epic</t>
        </is>
      </c>
      <c r="I191" s="18" t="inlineStr">
        <is>
          <t>Master Yi</t>
        </is>
      </c>
      <c r="J191" s="19" t="inlineStr">
        <is>
          <t>REACTION (Play any time, even before spells and abilities resolve.)
Choose a friendly unit. The next time it dies this turn, recall it exhausted instead. (Send it to base. This isn't a move.)</t>
        </is>
      </c>
    </row>
    <row r="192" ht="15" customHeight="1">
      <c r="A192" s="20" t="inlineStr">
        <is>
          <t>OGS-021</t>
        </is>
      </c>
      <c r="B192" s="20" t="inlineStr"/>
      <c r="C192" s="20" t="inlineStr">
        <is>
          <t>Lux - Lady of Luminosity (Starter)</t>
        </is>
      </c>
      <c r="D192" s="20" t="inlineStr">
        <is>
          <t>Mind;Order</t>
        </is>
      </c>
      <c r="E192" s="20" t="inlineStr">
        <is>
          <t>Legend</t>
        </is>
      </c>
      <c r="F192" s="20" t="inlineStr">
        <is>
          <t>0</t>
        </is>
      </c>
      <c r="G192" s="20" t="inlineStr">
        <is>
          <t>0</t>
        </is>
      </c>
      <c r="H192" s="20" t="inlineStr">
        <is>
          <t>Rare</t>
        </is>
      </c>
      <c r="I192" s="20" t="inlineStr">
        <is>
          <t>Lux</t>
        </is>
      </c>
      <c r="J192" s="21" t="inlineStr">
        <is>
          <t>When you play a spell that costs 5 or more, draw a 1.</t>
        </is>
      </c>
    </row>
    <row r="193" ht="15" customHeight="1">
      <c r="A193" s="20" t="inlineStr">
        <is>
          <t>OGS-022</t>
        </is>
      </c>
      <c r="B193" s="20" t="inlineStr"/>
      <c r="C193" s="20" t="inlineStr">
        <is>
          <t>Final Spark</t>
        </is>
      </c>
      <c r="D193" s="20" t="inlineStr">
        <is>
          <t>Mind;Order</t>
        </is>
      </c>
      <c r="E193" s="20" t="inlineStr">
        <is>
          <t>Signature Spell</t>
        </is>
      </c>
      <c r="F193" s="20" t="inlineStr">
        <is>
          <t>8</t>
        </is>
      </c>
      <c r="G193" s="20" t="inlineStr">
        <is>
          <t>0</t>
        </is>
      </c>
      <c r="H193" s="20" t="inlineStr">
        <is>
          <t>Epic</t>
        </is>
      </c>
      <c r="I193" s="20" t="inlineStr">
        <is>
          <t>Lux</t>
        </is>
      </c>
      <c r="J193" s="21" t="inlineStr">
        <is>
          <t>ACTION (Play on your turn or in showdowns.)
Deal 8 to a unit.</t>
        </is>
      </c>
    </row>
    <row r="194" ht="15" customHeight="1">
      <c r="A194" s="22" t="inlineStr">
        <is>
          <t>OGS-023</t>
        </is>
      </c>
      <c r="B194" s="22" t="inlineStr"/>
      <c r="C194" s="22" t="inlineStr">
        <is>
          <t>Garen - Might of Demacia (Starter)</t>
        </is>
      </c>
      <c r="D194" s="22" t="inlineStr">
        <is>
          <t>Body;Order</t>
        </is>
      </c>
      <c r="E194" s="22" t="inlineStr">
        <is>
          <t>Legend</t>
        </is>
      </c>
      <c r="F194" s="22" t="inlineStr">
        <is>
          <t>0</t>
        </is>
      </c>
      <c r="G194" s="22" t="inlineStr">
        <is>
          <t>0</t>
        </is>
      </c>
      <c r="H194" s="22" t="inlineStr">
        <is>
          <t>Rare</t>
        </is>
      </c>
      <c r="I194" s="22" t="inlineStr">
        <is>
          <t>Garen</t>
        </is>
      </c>
      <c r="J194" s="23" t="inlineStr">
        <is>
          <t>When you conquer, if you have 4+ units at that battlefield, draw 2.</t>
        </is>
      </c>
    </row>
    <row r="195" ht="15" customHeight="1">
      <c r="A195" s="22" t="inlineStr">
        <is>
          <t>OGS-024</t>
        </is>
      </c>
      <c r="B195" s="22" t="inlineStr"/>
      <c r="C195" s="22" t="inlineStr">
        <is>
          <t>Decisive Strike</t>
        </is>
      </c>
      <c r="D195" s="22" t="inlineStr">
        <is>
          <t>Body;Order</t>
        </is>
      </c>
      <c r="E195" s="22" t="inlineStr">
        <is>
          <t>Signature Spell</t>
        </is>
      </c>
      <c r="F195" s="22" t="inlineStr">
        <is>
          <t>5</t>
        </is>
      </c>
      <c r="G195" s="22" t="inlineStr">
        <is>
          <t>0</t>
        </is>
      </c>
      <c r="H195" s="22" t="inlineStr">
        <is>
          <t>Epic</t>
        </is>
      </c>
      <c r="I195" s="22" t="inlineStr">
        <is>
          <t>Garen</t>
        </is>
      </c>
      <c r="J195" s="23" t="inlineStr">
        <is>
          <t>ACTION (Play on your turn or in showdowns.)
Give friendly units +2 Might this turn.</t>
        </is>
      </c>
    </row>
    <row r="196" ht="15" customHeight="1">
      <c r="A196" s="22" t="inlineStr">
        <is>
          <t>ARC-004</t>
        </is>
      </c>
      <c r="B196" s="22" t="inlineStr"/>
      <c r="C196" s="22" t="inlineStr">
        <is>
          <t>Warwick Hunter</t>
        </is>
      </c>
      <c r="D196" s="22" t="inlineStr">
        <is>
          <t>Body</t>
        </is>
      </c>
      <c r="E196" s="22" t="inlineStr">
        <is>
          <t>Champion</t>
        </is>
      </c>
      <c r="F196" s="22" t="inlineStr">
        <is>
          <t>6</t>
        </is>
      </c>
      <c r="G196" s="22" t="inlineStr">
        <is>
          <t>5</t>
        </is>
      </c>
      <c r="H196" s="22" t="inlineStr">
        <is>
          <t>Showcase</t>
        </is>
      </c>
      <c r="I196" s="22" t="inlineStr">
        <is>
          <t>Dog, Warwick, Zaun</t>
        </is>
      </c>
      <c r="J196" s="23" t="inlineStr">
        <is>
          <t>I enter ready. When I attack, destroy all damaged enemy units here.</t>
        </is>
      </c>
    </row>
    <row r="197" ht="15" customHeight="1">
      <c r="A197" s="26" t="inlineStr">
        <is>
          <t>ARC-006</t>
        </is>
      </c>
      <c r="B197" s="26" t="inlineStr"/>
      <c r="C197" s="26" t="inlineStr">
        <is>
          <t>Viktor Leader</t>
        </is>
      </c>
      <c r="D197" s="26" t="inlineStr">
        <is>
          <t>Order</t>
        </is>
      </c>
      <c r="E197" s="26" t="inlineStr">
        <is>
          <t>Champion</t>
        </is>
      </c>
      <c r="F197" s="26" t="inlineStr">
        <is>
          <t>4</t>
        </is>
      </c>
      <c r="G197" s="26" t="inlineStr">
        <is>
          <t>4</t>
        </is>
      </c>
      <c r="H197" s="26" t="inlineStr">
        <is>
          <t>Showcase</t>
        </is>
      </c>
      <c r="I197" s="26" t="inlineStr">
        <is>
          <t>Viktor, Zaun</t>
        </is>
      </c>
      <c r="J197" s="27" t="inlineStr">
        <is>
          <t>When another non-Recruit unit you control dies, play a 1 [might] Recruit unit token into your base.</t>
        </is>
      </c>
    </row>
    <row r="198" ht="15" customHeight="1">
      <c r="A198" s="16" t="inlineStr">
        <is>
          <t>SFD-017</t>
        </is>
      </c>
      <c r="B198" s="16" t="inlineStr"/>
      <c r="C198" s="16" t="inlineStr">
        <is>
          <t>Sudden Storm</t>
        </is>
      </c>
      <c r="D198" s="16" t="inlineStr">
        <is>
          <t>Fury</t>
        </is>
      </c>
      <c r="E198" s="16" t="inlineStr">
        <is>
          <t>Spell</t>
        </is>
      </c>
      <c r="F198" s="16" t="inlineStr">
        <is>
          <t>3</t>
        </is>
      </c>
      <c r="G198" s="16" t="inlineStr"/>
      <c r="H198" s="16" t="inlineStr">
        <is>
          <t>Uncommon</t>
        </is>
      </c>
      <c r="I198" s="16" t="inlineStr"/>
      <c r="J198" s="17" t="inlineStr">
        <is>
          <t>[HIDDEN] (Hide now for 0 to react with later for 0.)
[ACTION] (Play on your turn or in showdowns.)
Deal 2 to a unit at a battlefield. If it's attacking, deal 4 to it instead.</t>
        </is>
      </c>
    </row>
    <row r="199" ht="15" customHeight="1">
      <c r="A199" s="16" t="inlineStr">
        <is>
          <t>SFD-018</t>
        </is>
      </c>
      <c r="B199" s="16" t="inlineStr"/>
      <c r="C199" s="16" t="inlineStr">
        <is>
          <t>Void Hatchling</t>
        </is>
      </c>
      <c r="D199" s="16" t="inlineStr">
        <is>
          <t>Fury</t>
        </is>
      </c>
      <c r="E199" s="16" t="inlineStr">
        <is>
          <t>Unit</t>
        </is>
      </c>
      <c r="F199" s="16" t="inlineStr">
        <is>
          <t>2</t>
        </is>
      </c>
      <c r="G199" s="16" t="inlineStr">
        <is>
          <t>2</t>
        </is>
      </c>
      <c r="H199" s="16" t="inlineStr">
        <is>
          <t>Uncommon</t>
        </is>
      </c>
      <c r="I199" s="16" t="inlineStr">
        <is>
          <t>The Void</t>
        </is>
      </c>
      <c r="J199" s="17" t="inlineStr">
        <is>
          <t>If you would reveal cards from a deck, look at the top card first. You may recycle it. Then reveal those cards.</t>
        </is>
      </c>
    </row>
    <row r="200" ht="15" customHeight="1">
      <c r="A200" s="16" t="inlineStr">
        <is>
          <t>SFD-023</t>
        </is>
      </c>
      <c r="B200" s="16" t="inlineStr"/>
      <c r="C200" s="16" t="inlineStr">
        <is>
          <t>Piercing Light</t>
        </is>
      </c>
      <c r="D200" s="16" t="inlineStr">
        <is>
          <t>Fury</t>
        </is>
      </c>
      <c r="E200" s="16" t="inlineStr">
        <is>
          <t>Spell</t>
        </is>
      </c>
      <c r="F200" s="16" t="inlineStr">
        <is>
          <t>2</t>
        </is>
      </c>
      <c r="G200" s="16" t="inlineStr"/>
      <c r="H200" s="16" t="inlineStr">
        <is>
          <t>Rare</t>
        </is>
      </c>
      <c r="I200" s="16" t="inlineStr"/>
      <c r="J200" s="17" t="inlineStr">
        <is>
          <t>[REPEAT 2, Fury]  (You may pay the additional cost to repeat this spell's effect.)
Deal 2 to a unit at a battlefield, then deal 2 to up to one other unit.</t>
        </is>
      </c>
    </row>
    <row r="201" ht="15" customHeight="1">
      <c r="A201" s="16" t="inlineStr">
        <is>
          <t>SFD-027</t>
        </is>
      </c>
      <c r="B201" s="16" t="inlineStr"/>
      <c r="C201" s="16" t="inlineStr">
        <is>
          <t>Dunebreaker</t>
        </is>
      </c>
      <c r="D201" s="16" t="inlineStr">
        <is>
          <t>Fury</t>
        </is>
      </c>
      <c r="E201" s="16" t="inlineStr">
        <is>
          <t>Unit</t>
        </is>
      </c>
      <c r="F201" s="16" t="inlineStr">
        <is>
          <t>7</t>
        </is>
      </c>
      <c r="G201" s="16" t="inlineStr">
        <is>
          <t>7</t>
        </is>
      </c>
      <c r="H201" s="16" t="inlineStr">
        <is>
          <t>Epic</t>
        </is>
      </c>
      <c r="I201" s="16" t="inlineStr">
        <is>
          <t>The Void</t>
        </is>
      </c>
      <c r="J201" s="17" t="inlineStr">
        <is>
          <t>If you have two or fewer cards in your hand, I enter ready. When I hold, draw 2.</t>
        </is>
      </c>
    </row>
    <row r="202" ht="15" customHeight="1">
      <c r="A202" s="16" t="inlineStr">
        <is>
          <t>SFD-028</t>
        </is>
      </c>
      <c r="B202" s="16" t="inlineStr"/>
      <c r="C202" s="16" t="inlineStr">
        <is>
          <t>Lucian - Gunslinger</t>
        </is>
      </c>
      <c r="D202" s="16" t="inlineStr">
        <is>
          <t>Fury</t>
        </is>
      </c>
      <c r="E202" s="16" t="inlineStr">
        <is>
          <t>Champion Unit</t>
        </is>
      </c>
      <c r="F202" s="16" t="inlineStr">
        <is>
          <t>3</t>
        </is>
      </c>
      <c r="G202" s="16" t="inlineStr">
        <is>
          <t>2</t>
        </is>
      </c>
      <c r="H202" s="16" t="inlineStr">
        <is>
          <t>Epic</t>
        </is>
      </c>
      <c r="I202" s="16" t="inlineStr">
        <is>
          <t>Demacia;Lucian;Sentinel</t>
        </is>
      </c>
      <c r="J202" s="17" t="inlineStr">
        <is>
          <t>[ASSAULT] (+1 Might while I'm an attacker.) When I attack, deal damage equal to my [ASSAULT] to an enemy unit here.</t>
        </is>
      </c>
    </row>
    <row r="203" ht="15" customHeight="1">
      <c r="A203" s="16" t="inlineStr">
        <is>
          <t>SFD-029</t>
        </is>
      </c>
      <c r="B203" s="16" t="inlineStr"/>
      <c r="C203" s="16" t="inlineStr">
        <is>
          <t>Rek'Sai - Breacher</t>
        </is>
      </c>
      <c r="D203" s="16" t="inlineStr">
        <is>
          <t>Fury</t>
        </is>
      </c>
      <c r="E203" s="16" t="inlineStr">
        <is>
          <t>Champion Unit</t>
        </is>
      </c>
      <c r="F203" s="16" t="inlineStr">
        <is>
          <t>3</t>
        </is>
      </c>
      <c r="G203" s="16" t="inlineStr">
        <is>
          <t>3</t>
        </is>
      </c>
      <c r="H203" s="16" t="inlineStr">
        <is>
          <t>Epic</t>
        </is>
      </c>
      <c r="I203" s="16" t="inlineStr">
        <is>
          <t>The Void;Rek'Sai</t>
        </is>
      </c>
      <c r="J203" s="17" t="inlineStr">
        <is>
          <t>[ACCELERATE] (You may pay 1 Fury as an additional cost to have me enter ready.) [ASSAULT] (+1 Might while I'm an attacker.) Friendly units played from anywhere other than a player's hand have [ACCELERATE].</t>
        </is>
      </c>
    </row>
    <row r="204" ht="15" customHeight="1">
      <c r="A204" s="18" t="inlineStr">
        <is>
          <t>SFD-042</t>
        </is>
      </c>
      <c r="B204" s="18" t="inlineStr"/>
      <c r="C204" s="18" t="inlineStr">
        <is>
          <t>Brutalizer</t>
        </is>
      </c>
      <c r="D204" s="18" t="inlineStr">
        <is>
          <t>Calm</t>
        </is>
      </c>
      <c r="E204" s="18" t="inlineStr">
        <is>
          <t>Gear</t>
        </is>
      </c>
      <c r="F204" s="18" t="inlineStr">
        <is>
          <t>2</t>
        </is>
      </c>
      <c r="G204" s="18" t="inlineStr"/>
      <c r="H204" s="18" t="inlineStr">
        <is>
          <t>Uncommon</t>
        </is>
      </c>
      <c r="I204" s="18" t="inlineStr">
        <is>
          <t>Equipment</t>
        </is>
      </c>
      <c r="J204" s="19" t="inlineStr">
        <is>
          <t>[EQUIP Calm]  (Calm: Attach this to a unit you control.)
If this was attached to me this turn, I have an additional +2 Might. 
+1 Might.</t>
        </is>
      </c>
    </row>
    <row r="205" ht="15" customHeight="1">
      <c r="A205" s="18" t="inlineStr">
        <is>
          <t>SFD-044</t>
        </is>
      </c>
      <c r="B205" s="18" t="inlineStr"/>
      <c r="C205" s="18" t="inlineStr">
        <is>
          <t>Legion Quartermaster</t>
        </is>
      </c>
      <c r="D205" s="18" t="inlineStr">
        <is>
          <t>Calm</t>
        </is>
      </c>
      <c r="E205" s="18" t="inlineStr">
        <is>
          <t>Unit</t>
        </is>
      </c>
      <c r="F205" s="18" t="inlineStr">
        <is>
          <t>3</t>
        </is>
      </c>
      <c r="G205" s="18" t="inlineStr">
        <is>
          <t>4</t>
        </is>
      </c>
      <c r="H205" s="18" t="inlineStr">
        <is>
          <t>Uncommon</t>
        </is>
      </c>
      <c r="I205" s="18" t="inlineStr">
        <is>
          <t>Noxus;Trifarian</t>
        </is>
      </c>
      <c r="J205" s="19" t="inlineStr">
        <is>
          <t>As an additional cost to play me, return a friendly gear to its owner's hand.</t>
        </is>
      </c>
    </row>
    <row r="206" ht="15" customHeight="1">
      <c r="A206" s="18" t="inlineStr">
        <is>
          <t>SFD-046</t>
        </is>
      </c>
      <c r="B206" s="18" t="inlineStr"/>
      <c r="C206" s="18" t="inlineStr">
        <is>
          <t>Poro Snax</t>
        </is>
      </c>
      <c r="D206" s="18" t="inlineStr">
        <is>
          <t>Calm</t>
        </is>
      </c>
      <c r="E206" s="18" t="inlineStr">
        <is>
          <t>Gear</t>
        </is>
      </c>
      <c r="F206" s="18" t="inlineStr">
        <is>
          <t>1</t>
        </is>
      </c>
      <c r="G206" s="18" t="inlineStr"/>
      <c r="H206" s="18" t="inlineStr">
        <is>
          <t>Uncommon</t>
        </is>
      </c>
      <c r="I206" s="18" t="inlineStr"/>
      <c r="J206" s="19" t="inlineStr">
        <is>
          <t>When you play this, draw 1.
1 Calm, Exhaust, Kill this: Draw 1.</t>
        </is>
      </c>
    </row>
    <row r="207" ht="15" customHeight="1">
      <c r="A207" s="18" t="inlineStr">
        <is>
          <t>SFD-049</t>
        </is>
      </c>
      <c r="B207" s="18" t="inlineStr"/>
      <c r="C207" s="18" t="inlineStr">
        <is>
          <t>Aphelios - Exalted</t>
        </is>
      </c>
      <c r="D207" s="18" t="inlineStr">
        <is>
          <t>Calm</t>
        </is>
      </c>
      <c r="E207" s="18" t="inlineStr">
        <is>
          <t>Champion Unit</t>
        </is>
      </c>
      <c r="F207" s="18" t="inlineStr">
        <is>
          <t>4</t>
        </is>
      </c>
      <c r="G207" s="18" t="inlineStr">
        <is>
          <t>4</t>
        </is>
      </c>
      <c r="H207" s="18" t="inlineStr">
        <is>
          <t>Rare</t>
        </is>
      </c>
      <c r="I207" s="18" t="inlineStr">
        <is>
          <t>Mount Targon;Aphelios</t>
        </is>
      </c>
      <c r="J207" s="19" t="inlineStr">
        <is>
          <t>When you attach an Equipment to me, choose one that hasn't been chosen this turn — •Ready 2 runes. •Channel 1 rune exhausted. •Buff a friendly unit.</t>
        </is>
      </c>
    </row>
    <row r="208" ht="15" customHeight="1">
      <c r="A208" s="18" t="inlineStr">
        <is>
          <t>SFD-053</t>
        </is>
      </c>
      <c r="B208" s="18" t="inlineStr"/>
      <c r="C208" s="18" t="inlineStr">
        <is>
          <t>Janna - Savior</t>
        </is>
      </c>
      <c r="D208" s="18" t="inlineStr">
        <is>
          <t>Calm</t>
        </is>
      </c>
      <c r="E208" s="18" t="inlineStr">
        <is>
          <t>Champion Unit</t>
        </is>
      </c>
      <c r="F208" s="18" t="inlineStr">
        <is>
          <t>3</t>
        </is>
      </c>
      <c r="G208" s="18" t="inlineStr">
        <is>
          <t>3</t>
        </is>
      </c>
      <c r="H208" s="18" t="inlineStr">
        <is>
          <t>Rare</t>
        </is>
      </c>
      <c r="I208" s="18" t="inlineStr">
        <is>
          <t>Zaun;Janna</t>
        </is>
      </c>
      <c r="J208" s="19" t="inlineStr">
        <is>
          <t>[REACTION] (Play any time, even before spells and abilities resolve, including to a battlefield you control.)
When you play me, heal your units here, then move an enemy unit from here to its base.</t>
        </is>
      </c>
    </row>
    <row r="209" ht="15" customHeight="1">
      <c r="A209" s="18" t="inlineStr">
        <is>
          <t>SFD-055</t>
        </is>
      </c>
      <c r="B209" s="18" t="inlineStr"/>
      <c r="C209" s="18" t="inlineStr">
        <is>
          <t>Needlessly Large Yordle</t>
        </is>
      </c>
      <c r="D209" s="18" t="inlineStr">
        <is>
          <t>Calm</t>
        </is>
      </c>
      <c r="E209" s="18" t="inlineStr">
        <is>
          <t>Unit</t>
        </is>
      </c>
      <c r="F209" s="18" t="inlineStr">
        <is>
          <t>10</t>
        </is>
      </c>
      <c r="G209" s="18" t="inlineStr">
        <is>
          <t>5</t>
        </is>
      </c>
      <c r="H209" s="18" t="inlineStr">
        <is>
          <t>Rare</t>
        </is>
      </c>
      <c r="I209" s="18" t="inlineStr">
        <is>
          <t>Bandle City;Yordle</t>
        </is>
      </c>
      <c r="J209" s="19" t="inlineStr">
        <is>
          <t>[SHIELD 5] (+5 Might while I'm a defender.) [TANK] (I must be assigned combat damage first.) I cost 2 and 1 Calm less for each point you scored from holding this turn.</t>
        </is>
      </c>
    </row>
    <row r="210" ht="15" customHeight="1">
      <c r="A210" s="18" t="inlineStr">
        <is>
          <t>SFD-056</t>
        </is>
      </c>
      <c r="B210" s="18" t="inlineStr"/>
      <c r="C210" s="18" t="inlineStr">
        <is>
          <t>Sterak's Gage</t>
        </is>
      </c>
      <c r="D210" s="18" t="inlineStr">
        <is>
          <t>Calm</t>
        </is>
      </c>
      <c r="E210" s="18" t="inlineStr">
        <is>
          <t>Gear</t>
        </is>
      </c>
      <c r="F210" s="18" t="inlineStr">
        <is>
          <t>3</t>
        </is>
      </c>
      <c r="G210" s="18" t="inlineStr">
        <is>
          <t>0</t>
        </is>
      </c>
      <c r="H210" s="18" t="inlineStr">
        <is>
          <t>Rare</t>
        </is>
      </c>
      <c r="I210" s="18" t="inlineStr">
        <is>
          <t>Equipment</t>
        </is>
      </c>
      <c r="J210" s="19" t="inlineStr">
        <is>
          <t>[QUICK-DRAW] (This has REACTION. When you play it, attach it to a unit you control.)
[EQUIP Calm] (Calm: Attach this to a unit you control.)
Might +3</t>
        </is>
      </c>
    </row>
    <row r="211" ht="15" customHeight="1">
      <c r="A211" s="18" t="inlineStr">
        <is>
          <t>SFD-057</t>
        </is>
      </c>
      <c r="B211" s="18" t="inlineStr"/>
      <c r="C211" s="18" t="inlineStr">
        <is>
          <t>Irelia - Fervent</t>
        </is>
      </c>
      <c r="D211" s="18" t="inlineStr">
        <is>
          <t>Calm</t>
        </is>
      </c>
      <c r="E211" s="18" t="inlineStr">
        <is>
          <t>Champion Unit</t>
        </is>
      </c>
      <c r="F211" s="18" t="inlineStr">
        <is>
          <t>5</t>
        </is>
      </c>
      <c r="G211" s="18" t="inlineStr">
        <is>
          <t>4</t>
        </is>
      </c>
      <c r="H211" s="18" t="inlineStr">
        <is>
          <t>Epic</t>
        </is>
      </c>
      <c r="I211" s="18" t="inlineStr">
        <is>
          <t>Ionia;Irelia</t>
        </is>
      </c>
      <c r="J211" s="19" t="inlineStr">
        <is>
          <t>DEFLECT (Opponents must pay Rune to choose me with a spell or ability) When you choose or ready me, give me +1 Might this turn.</t>
        </is>
      </c>
    </row>
    <row r="212" ht="15" customHeight="1">
      <c r="A212" s="18" t="inlineStr">
        <is>
          <t>SFD-058</t>
        </is>
      </c>
      <c r="B212" s="18" t="inlineStr"/>
      <c r="C212" s="18" t="inlineStr">
        <is>
          <t>Ornn - Blacksmith</t>
        </is>
      </c>
      <c r="D212" s="18" t="inlineStr">
        <is>
          <t>Calm</t>
        </is>
      </c>
      <c r="E212" s="18" t="inlineStr">
        <is>
          <t>Champion Unit</t>
        </is>
      </c>
      <c r="F212" s="18" t="inlineStr">
        <is>
          <t>5</t>
        </is>
      </c>
      <c r="G212" s="18" t="inlineStr">
        <is>
          <t>5</t>
        </is>
      </c>
      <c r="H212" s="18" t="inlineStr">
        <is>
          <t>Epic</t>
        </is>
      </c>
      <c r="I212" s="18" t="inlineStr">
        <is>
          <t>Freljord;Ornn</t>
        </is>
      </c>
      <c r="J212" s="19" t="inlineStr">
        <is>
          <t>When you play me or when I hold, look at the top 4 cards of your Main Deck. You may reveal a gear from among them and draw it. Then recycle the rest.</t>
        </is>
      </c>
    </row>
    <row r="213" ht="15" customHeight="1">
      <c r="A213" s="18" t="inlineStr">
        <is>
          <t>SFD-059</t>
        </is>
      </c>
      <c r="B213" s="18" t="inlineStr"/>
      <c r="C213" s="18" t="inlineStr">
        <is>
          <t>Svellsongur</t>
        </is>
      </c>
      <c r="D213" s="18" t="inlineStr">
        <is>
          <t>Calm</t>
        </is>
      </c>
      <c r="E213" s="18" t="inlineStr">
        <is>
          <t>Gear</t>
        </is>
      </c>
      <c r="F213" s="18" t="inlineStr">
        <is>
          <t>3</t>
        </is>
      </c>
      <c r="G213" s="18" t="inlineStr">
        <is>
          <t>0</t>
        </is>
      </c>
      <c r="H213" s="18" t="inlineStr">
        <is>
          <t>Epic</t>
        </is>
      </c>
      <c r="I213" s="18" t="inlineStr">
        <is>
          <t>Equipment</t>
        </is>
      </c>
      <c r="J213" s="19" t="inlineStr">
        <is>
          <t>[EQUIP1, Calm] (1, Calm: Attach this to a unit you control.) As this is attached to a unit, copy that unit's text to this Equipment's effect text for as long as this is attached to it. Might +0</t>
        </is>
      </c>
    </row>
    <row r="214" ht="15" customHeight="1">
      <c r="A214" s="18" t="inlineStr">
        <is>
          <t>SFD-060</t>
        </is>
      </c>
      <c r="B214" s="18" t="inlineStr"/>
      <c r="C214" s="18" t="inlineStr">
        <is>
          <t>Tianna Crownguard</t>
        </is>
      </c>
      <c r="D214" s="18" t="inlineStr">
        <is>
          <t>Calm</t>
        </is>
      </c>
      <c r="E214" s="18" t="inlineStr">
        <is>
          <t>Unit</t>
        </is>
      </c>
      <c r="F214" s="18" t="inlineStr">
        <is>
          <t>7</t>
        </is>
      </c>
      <c r="G214" s="18" t="inlineStr">
        <is>
          <t>4</t>
        </is>
      </c>
      <c r="H214" s="18" t="inlineStr">
        <is>
          <t>Epic</t>
        </is>
      </c>
      <c r="I214" s="18" t="inlineStr">
        <is>
          <t>Demacia;Elite</t>
        </is>
      </c>
      <c r="J214" s="19" t="inlineStr">
        <is>
          <t>[DEFLECT] (Opponents must pay 1 Rune to choose me with a spell or ability.) While I'm at a battlefield, opponents can't score points.</t>
        </is>
      </c>
    </row>
    <row r="215" ht="15" customHeight="1">
      <c r="A215" s="20" t="inlineStr">
        <is>
          <t>SFD-073</t>
        </is>
      </c>
      <c r="B215" s="20" t="inlineStr"/>
      <c r="C215" s="20" t="inlineStr">
        <is>
          <t>Experimental Hexplate</t>
        </is>
      </c>
      <c r="D215" s="20" t="inlineStr">
        <is>
          <t>Mind</t>
        </is>
      </c>
      <c r="E215" s="20" t="inlineStr">
        <is>
          <t>Gear</t>
        </is>
      </c>
      <c r="F215" s="20" t="inlineStr">
        <is>
          <t>1</t>
        </is>
      </c>
      <c r="G215" s="20" t="inlineStr"/>
      <c r="H215" s="20" t="inlineStr">
        <is>
          <t>Uncommon</t>
        </is>
      </c>
      <c r="I215" s="20" t="inlineStr">
        <is>
          <t>Equipment</t>
        </is>
      </c>
      <c r="J215" s="21" t="inlineStr">
        <is>
          <t>[EQUIP Calm]  (Calm: Attach this to a unit you control.)
I am a mech.
+1 Might</t>
        </is>
      </c>
    </row>
    <row r="216" ht="15" customHeight="1">
      <c r="A216" s="20" t="inlineStr">
        <is>
          <t>SFD-075</t>
        </is>
      </c>
      <c r="B216" s="20" t="inlineStr"/>
      <c r="C216" s="20" t="inlineStr">
        <is>
          <t>Prize of Progress</t>
        </is>
      </c>
      <c r="D216" s="20" t="inlineStr">
        <is>
          <t>Mind</t>
        </is>
      </c>
      <c r="E216" s="20" t="inlineStr">
        <is>
          <t>Unit</t>
        </is>
      </c>
      <c r="F216" s="20" t="inlineStr">
        <is>
          <t>4</t>
        </is>
      </c>
      <c r="G216" s="20" t="inlineStr">
        <is>
          <t>3</t>
        </is>
      </c>
      <c r="H216" s="20" t="inlineStr">
        <is>
          <t>Uncommon</t>
        </is>
      </c>
      <c r="I216" s="20" t="inlineStr">
        <is>
          <t>Mech;Piltover</t>
        </is>
      </c>
      <c r="J216" s="21" t="inlineStr">
        <is>
          <t>When you use an activated ability of a gear, give me +1 Might this turn.</t>
        </is>
      </c>
    </row>
    <row r="217" ht="15" customHeight="1">
      <c r="A217" s="20" t="inlineStr">
        <is>
          <t>SFD-078</t>
        </is>
      </c>
      <c r="B217" s="20" t="inlineStr"/>
      <c r="C217" s="20" t="inlineStr">
        <is>
          <t>Temporal Portal</t>
        </is>
      </c>
      <c r="D217" s="20" t="inlineStr">
        <is>
          <t>Mind</t>
        </is>
      </c>
      <c r="E217" s="20" t="inlineStr">
        <is>
          <t>Spell</t>
        </is>
      </c>
      <c r="F217" s="20" t="inlineStr">
        <is>
          <t>3</t>
        </is>
      </c>
      <c r="G217" s="20" t="inlineStr"/>
      <c r="H217" s="20" t="inlineStr">
        <is>
          <t>Uncommon</t>
        </is>
      </c>
      <c r="I217" s="20" t="inlineStr"/>
      <c r="J217" s="21" t="inlineStr">
        <is>
          <t>1 Rune, Exhaust: Give the next spell you play this turn [REPEAT] equal to its cost. (You may pay the additional cost to repeat the spell's effect.)</t>
        </is>
      </c>
    </row>
    <row r="218" ht="15" customHeight="1">
      <c r="A218" s="20" t="inlineStr">
        <is>
          <t>SFD-079</t>
        </is>
      </c>
      <c r="B218" s="20" t="inlineStr"/>
      <c r="C218" s="20" t="inlineStr">
        <is>
          <t>Bard - Mercurial</t>
        </is>
      </c>
      <c r="D218" s="20" t="inlineStr">
        <is>
          <t>Mind</t>
        </is>
      </c>
      <c r="E218" s="20" t="inlineStr">
        <is>
          <t>Champion Unit</t>
        </is>
      </c>
      <c r="F218" s="20" t="inlineStr">
        <is>
          <t>4</t>
        </is>
      </c>
      <c r="G218" s="20" t="inlineStr">
        <is>
          <t>4</t>
        </is>
      </c>
      <c r="H218" s="20" t="inlineStr">
        <is>
          <t>Rare</t>
        </is>
      </c>
      <c r="I218" s="20" t="inlineStr">
        <is>
          <t>Bard</t>
        </is>
      </c>
      <c r="J218" s="21" t="inlineStr">
        <is>
          <t>You may exhaust your legend as an additional cost to play me.
When you play me, if you paid the additional cost, move any number of your units to an open battlefield.</t>
        </is>
      </c>
    </row>
    <row r="219" ht="15" customHeight="1">
      <c r="A219" s="20" t="inlineStr">
        <is>
          <t>SFD-080</t>
        </is>
      </c>
      <c r="B219" s="20" t="inlineStr"/>
      <c r="C219" s="20" t="inlineStr">
        <is>
          <t>Bellows Breath</t>
        </is>
      </c>
      <c r="D219" s="20" t="inlineStr">
        <is>
          <t>Mind</t>
        </is>
      </c>
      <c r="E219" s="20" t="inlineStr">
        <is>
          <t>Spell</t>
        </is>
      </c>
      <c r="F219" s="20" t="inlineStr">
        <is>
          <t>1</t>
        </is>
      </c>
      <c r="G219" s="20" t="inlineStr"/>
      <c r="H219" s="20" t="inlineStr">
        <is>
          <t>Rare</t>
        </is>
      </c>
      <c r="I219" s="20" t="inlineStr"/>
      <c r="J219" s="21" t="inlineStr">
        <is>
          <t>[ACTION] (Play on your turn or in showdowns.) [REPEAT 1, Mind] (You may pay the additional cost to repeat this spell's effect.) Deal 1 to up to three units at the same location.</t>
        </is>
      </c>
    </row>
    <row r="220" ht="15" customHeight="1">
      <c r="A220" s="20" t="inlineStr">
        <is>
          <t>SFD-083</t>
        </is>
      </c>
      <c r="B220" s="20" t="inlineStr"/>
      <c r="C220" s="20" t="inlineStr">
        <is>
          <t>Hextech Anomaly</t>
        </is>
      </c>
      <c r="D220" s="20" t="inlineStr">
        <is>
          <t>Mind</t>
        </is>
      </c>
      <c r="E220" s="20" t="inlineStr">
        <is>
          <t>Gear</t>
        </is>
      </c>
      <c r="F220" s="20" t="inlineStr">
        <is>
          <t>3</t>
        </is>
      </c>
      <c r="G220" s="20" t="inlineStr"/>
      <c r="H220" s="20" t="inlineStr">
        <is>
          <t>Rare</t>
        </is>
      </c>
      <c r="I220" s="20" t="inlineStr"/>
      <c r="J220" s="21" t="inlineStr">
        <is>
          <t>Exhaust: [REACTION] — Pay any amount of Runes to [ADD] that much Energy. (Abilities that add resources can't be reacted to.)</t>
        </is>
      </c>
    </row>
    <row r="221" ht="15" customHeight="1">
      <c r="A221" s="20" t="inlineStr">
        <is>
          <t>SFD-084</t>
        </is>
      </c>
      <c r="B221" s="20" t="inlineStr"/>
      <c r="C221" s="20" t="inlineStr">
        <is>
          <t>Jayce - Man of Progress</t>
        </is>
      </c>
      <c r="D221" s="20" t="inlineStr">
        <is>
          <t>Mind</t>
        </is>
      </c>
      <c r="E221" s="20" t="inlineStr">
        <is>
          <t>Champion Unit</t>
        </is>
      </c>
      <c r="F221" s="20" t="inlineStr">
        <is>
          <t>4</t>
        </is>
      </c>
      <c r="G221" s="20" t="inlineStr">
        <is>
          <t>4</t>
        </is>
      </c>
      <c r="H221" s="20" t="inlineStr">
        <is>
          <t>Rare</t>
        </is>
      </c>
      <c r="I221" s="20" t="inlineStr">
        <is>
          <t>Piltover;Jayce</t>
        </is>
      </c>
      <c r="J221" s="21" t="inlineStr">
        <is>
          <t>When you play me, you may kill a friendly gear. If you do, you may play a gear with Energy cost no more than 7 from hand this turn, ignoring its Energy cost. (You must still pay its Power cost.)</t>
        </is>
      </c>
    </row>
    <row r="222" ht="15" customHeight="1">
      <c r="A222" s="20" t="inlineStr">
        <is>
          <t>SFD-085</t>
        </is>
      </c>
      <c r="B222" s="20" t="inlineStr"/>
      <c r="C222" s="20" t="inlineStr">
        <is>
          <t>Ornn - Forge God</t>
        </is>
      </c>
      <c r="D222" s="20" t="inlineStr">
        <is>
          <t>Mind</t>
        </is>
      </c>
      <c r="E222" s="20" t="inlineStr">
        <is>
          <t>Champion Unit</t>
        </is>
      </c>
      <c r="F222" s="20" t="inlineStr">
        <is>
          <t>6</t>
        </is>
      </c>
      <c r="G222" s="20" t="inlineStr">
        <is>
          <t>4</t>
        </is>
      </c>
      <c r="H222" s="20" t="inlineStr">
        <is>
          <t>Rare</t>
        </is>
      </c>
      <c r="I222" s="20" t="inlineStr">
        <is>
          <t>Freljord;Ornn</t>
        </is>
      </c>
      <c r="J222" s="21" t="inlineStr">
        <is>
          <t>[DEFLECT 2] (Opponents must pay 2 Runes to choose me with a spell or ability.)
[WEAPONMASTER] (When you play me, you may [EQUIP] one of your Equipment to me for 1 Rune  less, even if it's already attached.)
I have +1 Might for each friendly gear.</t>
        </is>
      </c>
    </row>
    <row r="223" ht="15" customHeight="1">
      <c r="A223" s="20" t="inlineStr">
        <is>
          <t>SFD-087</t>
        </is>
      </c>
      <c r="B223" s="20" t="inlineStr"/>
      <c r="C223" s="20" t="inlineStr">
        <is>
          <t>Premonition</t>
        </is>
      </c>
      <c r="D223" s="20" t="inlineStr">
        <is>
          <t>Mind</t>
        </is>
      </c>
      <c r="E223" s="20" t="inlineStr">
        <is>
          <t>Spell</t>
        </is>
      </c>
      <c r="F223" s="20" t="inlineStr">
        <is>
          <t>2</t>
        </is>
      </c>
      <c r="G223" s="20" t="inlineStr"/>
      <c r="H223" s="20" t="inlineStr">
        <is>
          <t>Epic</t>
        </is>
      </c>
      <c r="I223" s="20" t="inlineStr"/>
      <c r="J223" s="21" t="inlineStr">
        <is>
          <t>[REACTION] (Play any time, even before spells and abilities resolve.) Draw 3.</t>
        </is>
      </c>
    </row>
    <row r="224" ht="15" customHeight="1">
      <c r="A224" s="20" t="inlineStr">
        <is>
          <t>SFD-088</t>
        </is>
      </c>
      <c r="B224" s="20" t="inlineStr"/>
      <c r="C224" s="20" t="inlineStr">
        <is>
          <t>Renata Glasc - Mastermind</t>
        </is>
      </c>
      <c r="D224" s="20" t="inlineStr">
        <is>
          <t>Mind</t>
        </is>
      </c>
      <c r="E224" s="20" t="inlineStr">
        <is>
          <t>Champion Unit</t>
        </is>
      </c>
      <c r="F224" s="20" t="inlineStr">
        <is>
          <t>5</t>
        </is>
      </c>
      <c r="G224" s="20" t="inlineStr">
        <is>
          <t>4</t>
        </is>
      </c>
      <c r="H224" s="20" t="inlineStr">
        <is>
          <t>Epic</t>
        </is>
      </c>
      <c r="I224" s="20" t="inlineStr">
        <is>
          <t>Zaun;Renata Glasc</t>
        </is>
      </c>
      <c r="J224" s="21" t="inlineStr">
        <is>
          <t>1, Mind: Draw 1. 1,4 Mind, Exhaust: Score 1 point. Use my abilities only while I'm at a battlefield.</t>
        </is>
      </c>
    </row>
    <row r="225" ht="15" customHeight="1">
      <c r="A225" s="22" t="inlineStr">
        <is>
          <t>SFD-114</t>
        </is>
      </c>
      <c r="B225" s="22" t="inlineStr"/>
      <c r="C225" s="22" t="inlineStr">
        <is>
          <t>Marching Orders</t>
        </is>
      </c>
      <c r="D225" s="22" t="inlineStr">
        <is>
          <t>Body</t>
        </is>
      </c>
      <c r="E225" s="22" t="inlineStr">
        <is>
          <t>Spell</t>
        </is>
      </c>
      <c r="F225" s="22" t="inlineStr">
        <is>
          <t>3</t>
        </is>
      </c>
      <c r="G225" s="22" t="inlineStr"/>
      <c r="H225" s="22" t="inlineStr">
        <is>
          <t>Rare</t>
        </is>
      </c>
      <c r="I225" s="22" t="inlineStr"/>
      <c r="J225" s="23" t="inlineStr">
        <is>
          <t>[ACTION] (Play on your turn or in showdowns.)
[REPEAT 3]  (You may pay the additional cost to repeat this spell's effect.)
Choose a friendly unit anywhere and an enemy unit at a battlefield. They deal damage equal to their Mights to each other.</t>
        </is>
      </c>
    </row>
    <row r="226" ht="15" customHeight="1">
      <c r="A226" s="22" t="inlineStr">
        <is>
          <t>SFD-117</t>
        </is>
      </c>
      <c r="B226" s="22" t="inlineStr"/>
      <c r="C226" s="22" t="inlineStr">
        <is>
          <t>Ancient Henge</t>
        </is>
      </c>
      <c r="D226" s="22" t="inlineStr">
        <is>
          <t>Body</t>
        </is>
      </c>
      <c r="E226" s="22" t="inlineStr">
        <is>
          <t>Gear</t>
        </is>
      </c>
      <c r="F226" s="22" t="inlineStr">
        <is>
          <t>2</t>
        </is>
      </c>
      <c r="G226" s="22" t="inlineStr"/>
      <c r="H226" s="22" t="inlineStr">
        <is>
          <t>Epic</t>
        </is>
      </c>
      <c r="I226" s="22" t="inlineStr"/>
      <c r="J226" s="23" t="inlineStr">
        <is>
          <t>Exhaust: [REACTION] — Pay any amount of Energy to [ADD] that much Rune. (Abilities that add resources can't be reacted to.)</t>
        </is>
      </c>
    </row>
    <row r="227" ht="15" customHeight="1">
      <c r="A227" s="22" t="inlineStr">
        <is>
          <t>SFD-118</t>
        </is>
      </c>
      <c r="B227" s="22" t="inlineStr"/>
      <c r="C227" s="22" t="inlineStr">
        <is>
          <t>Boneshiver</t>
        </is>
      </c>
      <c r="D227" s="22" t="inlineStr">
        <is>
          <t>Body</t>
        </is>
      </c>
      <c r="E227" s="22" t="inlineStr">
        <is>
          <t>Gear</t>
        </is>
      </c>
      <c r="F227" s="22" t="inlineStr">
        <is>
          <t>3</t>
        </is>
      </c>
      <c r="G227" s="22" t="inlineStr">
        <is>
          <t>0</t>
        </is>
      </c>
      <c r="H227" s="22" t="inlineStr">
        <is>
          <t>Epic</t>
        </is>
      </c>
      <c r="I227" s="22" t="inlineStr">
        <is>
          <t>Equipment</t>
        </is>
      </c>
      <c r="J227" s="23" t="inlineStr">
        <is>
          <t>[EQUIP 1 Body] (1 Body: Attach this to a unit you control.) When I conquer, channel 1 rune exhausted. Might +2.</t>
        </is>
      </c>
    </row>
    <row r="228" ht="15" customHeight="1">
      <c r="A228" s="26" t="inlineStr">
        <is>
          <t>SFD-120</t>
        </is>
      </c>
      <c r="B228" s="26" t="inlineStr"/>
      <c r="C228" s="26" t="inlineStr">
        <is>
          <t>Sivir - Ambitious</t>
        </is>
      </c>
      <c r="D228" s="26" t="inlineStr">
        <is>
          <t>Order</t>
        </is>
      </c>
      <c r="E228" s="26" t="inlineStr">
        <is>
          <t>Champion Unit</t>
        </is>
      </c>
      <c r="F228" s="26" t="inlineStr">
        <is>
          <t>6</t>
        </is>
      </c>
      <c r="G228" s="26" t="inlineStr">
        <is>
          <t>7</t>
        </is>
      </c>
      <c r="H228" s="26" t="inlineStr">
        <is>
          <t>Epic</t>
        </is>
      </c>
      <c r="I228" s="26" t="inlineStr">
        <is>
          <t>Shurima;Sivir</t>
        </is>
      </c>
      <c r="J228" s="27" t="inlineStr">
        <is>
          <t>[DEFLECT 2] (Opponents must pay to choose me with a spell or Ability.) When I conquer after an attack, if you assigned 5 or more excess damage to enemy units, you may deal that much to an enemy unit.</t>
        </is>
      </c>
    </row>
    <row r="229" ht="15" customHeight="1">
      <c r="A229" s="24" t="inlineStr">
        <is>
          <t>SFD-131</t>
        </is>
      </c>
      <c r="B229" s="24" t="inlineStr"/>
      <c r="C229" s="24" t="inlineStr">
        <is>
          <t>Ancient Warmonger</t>
        </is>
      </c>
      <c r="D229" s="24" t="inlineStr">
        <is>
          <t>Chaos</t>
        </is>
      </c>
      <c r="E229" s="24" t="inlineStr">
        <is>
          <t>Unit</t>
        </is>
      </c>
      <c r="F229" s="24" t="inlineStr">
        <is>
          <t>5</t>
        </is>
      </c>
      <c r="G229" s="24" t="inlineStr">
        <is>
          <t>4</t>
        </is>
      </c>
      <c r="H229" s="24" t="inlineStr">
        <is>
          <t>Uncommon</t>
        </is>
      </c>
      <c r="I229" s="24" t="inlineStr">
        <is>
          <t>Noxus;Spirit</t>
        </is>
      </c>
      <c r="J229" s="25" t="inlineStr">
        <is>
          <t>[ACCELERATE] (You may pay 1 and Chaos as an additional cost to have me enter ready.)
I have [ASSAULT] equal to the number of enemy units here. (+1 Might while I'm an attacker for each instance of Assault.)</t>
        </is>
      </c>
    </row>
    <row r="230" ht="15" customHeight="1">
      <c r="A230" s="24" t="inlineStr">
        <is>
          <t>SFD-132</t>
        </is>
      </c>
      <c r="B230" s="24" t="inlineStr"/>
      <c r="C230" s="24" t="inlineStr">
        <is>
          <t>Beast Below</t>
        </is>
      </c>
      <c r="D230" s="24" t="inlineStr">
        <is>
          <t>Chaos</t>
        </is>
      </c>
      <c r="E230" s="24" t="inlineStr">
        <is>
          <t>Unit</t>
        </is>
      </c>
      <c r="F230" s="24" t="inlineStr">
        <is>
          <t>7</t>
        </is>
      </c>
      <c r="G230" s="24" t="inlineStr">
        <is>
          <t>8</t>
        </is>
      </c>
      <c r="H230" s="24" t="inlineStr">
        <is>
          <t>Uncommon</t>
        </is>
      </c>
      <c r="I230" s="24" t="inlineStr">
        <is>
          <t>Bilgewater</t>
        </is>
      </c>
      <c r="J230" s="25" t="inlineStr">
        <is>
          <t>When you play me, return another friendly unit and an enemy unit to their owners' hands.</t>
        </is>
      </c>
    </row>
    <row r="231" ht="15" customHeight="1">
      <c r="A231" s="24" t="inlineStr">
        <is>
          <t>SFD-133</t>
        </is>
      </c>
      <c r="B231" s="24" t="inlineStr"/>
      <c r="C231" s="24" t="inlineStr">
        <is>
          <t>Boots of Swiftness</t>
        </is>
      </c>
      <c r="D231" s="24" t="inlineStr">
        <is>
          <t>Chaos</t>
        </is>
      </c>
      <c r="E231" s="24" t="inlineStr">
        <is>
          <t>Gear</t>
        </is>
      </c>
      <c r="F231" s="24" t="inlineStr">
        <is>
          <t>3</t>
        </is>
      </c>
      <c r="G231" s="24" t="inlineStr">
        <is>
          <t>2</t>
        </is>
      </c>
      <c r="H231" s="24" t="inlineStr">
        <is>
          <t>Uncommon</t>
        </is>
      </c>
      <c r="I231" s="24" t="inlineStr">
        <is>
          <t>Equipment</t>
        </is>
      </c>
      <c r="J231" s="25" t="inlineStr">
        <is>
          <t>[EQUIP Chaos]  (Chaos: Attach this to a unit you control.)
[GANKING] (I can move from battlefield to battlefield)</t>
        </is>
      </c>
    </row>
    <row r="232" ht="15" customHeight="1">
      <c r="A232" s="24" t="inlineStr">
        <is>
          <t>SFD-138</t>
        </is>
      </c>
      <c r="B232" s="24" t="inlineStr"/>
      <c r="C232" s="24" t="inlineStr">
        <is>
          <t>Windsinger</t>
        </is>
      </c>
      <c r="D232" s="24" t="inlineStr">
        <is>
          <t>Chaos</t>
        </is>
      </c>
      <c r="E232" s="24" t="inlineStr">
        <is>
          <t>Unit</t>
        </is>
      </c>
      <c r="F232" s="24" t="inlineStr">
        <is>
          <t>2</t>
        </is>
      </c>
      <c r="G232" s="24" t="inlineStr">
        <is>
          <t>1</t>
        </is>
      </c>
      <c r="H232" s="24" t="inlineStr">
        <is>
          <t>Uncommon</t>
        </is>
      </c>
      <c r="I232" s="24" t="inlineStr">
        <is>
          <t>Ionia</t>
        </is>
      </c>
      <c r="J232" s="25" t="inlineStr">
        <is>
          <t>[HIDDEN]  (Hide now for 1 Rune to reach later for 0.)
When you play me, you may return another unit at a battlefield with 3 Might or less to its owner's hand.</t>
        </is>
      </c>
    </row>
    <row r="233" ht="15" customHeight="1">
      <c r="A233" s="24" t="inlineStr">
        <is>
          <t>SFD-140</t>
        </is>
      </c>
      <c r="B233" s="24" t="inlineStr"/>
      <c r="C233" s="24" t="inlineStr">
        <is>
          <t>Fizz - Trickster</t>
        </is>
      </c>
      <c r="D233" s="24" t="inlineStr">
        <is>
          <t>Chaos</t>
        </is>
      </c>
      <c r="E233" s="24" t="inlineStr">
        <is>
          <t>Champion Unit</t>
        </is>
      </c>
      <c r="F233" s="24" t="inlineStr">
        <is>
          <t>3</t>
        </is>
      </c>
      <c r="G233" s="24" t="inlineStr">
        <is>
          <t>3</t>
        </is>
      </c>
      <c r="H233" s="24" t="inlineStr">
        <is>
          <t>Rare</t>
        </is>
      </c>
      <c r="I233" s="24" t="inlineStr">
        <is>
          <t>Bilgewater;Yordle;Fizz</t>
        </is>
      </c>
      <c r="J233" s="25" t="inlineStr">
        <is>
          <t>When you play me, you may play a spell from your trash with Energy cost no more than 3, ignoring its Energy cost. Recycle that spell after you play it. (You must still pay its Power cost.)</t>
        </is>
      </c>
    </row>
    <row r="234" ht="15" customHeight="1">
      <c r="A234" s="24" t="inlineStr">
        <is>
          <t>SFD-142</t>
        </is>
      </c>
      <c r="B234" s="24" t="inlineStr"/>
      <c r="C234" s="24" t="inlineStr">
        <is>
          <t>Jae Medarda</t>
        </is>
      </c>
      <c r="D234" s="24" t="inlineStr">
        <is>
          <t>Chaos</t>
        </is>
      </c>
      <c r="E234" s="24" t="inlineStr">
        <is>
          <t>Unit</t>
        </is>
      </c>
      <c r="F234" s="24" t="inlineStr">
        <is>
          <t>5</t>
        </is>
      </c>
      <c r="G234" s="24" t="inlineStr">
        <is>
          <t>5</t>
        </is>
      </c>
      <c r="H234" s="24" t="inlineStr">
        <is>
          <t>Rare</t>
        </is>
      </c>
      <c r="I234" s="24" t="inlineStr">
        <is>
          <t>Noxus</t>
        </is>
      </c>
      <c r="J234" s="25" t="inlineStr">
        <is>
          <t>When you choose me with a spell, draw 1.</t>
        </is>
      </c>
    </row>
    <row r="235" ht="15" customHeight="1">
      <c r="A235" s="24" t="inlineStr">
        <is>
          <t>SFD-145</t>
        </is>
      </c>
      <c r="B235" s="24" t="inlineStr"/>
      <c r="C235" s="24" t="inlineStr">
        <is>
          <t>Switcheroo</t>
        </is>
      </c>
      <c r="D235" s="24" t="inlineStr">
        <is>
          <t>Chaos</t>
        </is>
      </c>
      <c r="E235" s="24" t="inlineStr">
        <is>
          <t>Spell</t>
        </is>
      </c>
      <c r="F235" s="24" t="inlineStr">
        <is>
          <t>2</t>
        </is>
      </c>
      <c r="G235" s="24" t="inlineStr"/>
      <c r="H235" s="24" t="inlineStr">
        <is>
          <t>Rare</t>
        </is>
      </c>
      <c r="I235" s="24" t="inlineStr"/>
      <c r="J235" s="25" t="inlineStr">
        <is>
          <t>[HIDDEN] (Hide now for 1 Rune to reach later for 0.) [ACTION] {Play on your turn or in showdowns.) Swap the Might of two units at the same battlefield this turn.</t>
        </is>
      </c>
    </row>
    <row r="236" ht="15" customHeight="1">
      <c r="A236" s="24" t="inlineStr">
        <is>
          <t>SFD-146</t>
        </is>
      </c>
      <c r="B236" s="24" t="inlineStr"/>
      <c r="C236" s="24" t="inlineStr">
        <is>
          <t>Vex - Cheerless</t>
        </is>
      </c>
      <c r="D236" s="24" t="inlineStr">
        <is>
          <t>Chaos</t>
        </is>
      </c>
      <c r="E236" s="24" t="inlineStr">
        <is>
          <t>Champion Unit</t>
        </is>
      </c>
      <c r="F236" s="24" t="inlineStr">
        <is>
          <t>5</t>
        </is>
      </c>
      <c r="G236" s="24" t="inlineStr">
        <is>
          <t>5</t>
        </is>
      </c>
      <c r="H236" s="24" t="inlineStr">
        <is>
          <t>Rare</t>
        </is>
      </c>
      <c r="I236" s="24" t="inlineStr">
        <is>
          <t>Shadow Isles;Yordle;Vex</t>
        </is>
      </c>
      <c r="J236" s="25" t="inlineStr">
        <is>
          <t>While I'm in combat, friendly spells cost 1 Rune less to a minium of 1, and enemy spells cost 1 Rune more.</t>
        </is>
      </c>
    </row>
    <row r="237" ht="15" customHeight="1">
      <c r="A237" s="24" t="inlineStr">
        <is>
          <t>SFD-147</t>
        </is>
      </c>
      <c r="B237" s="24" t="inlineStr"/>
      <c r="C237" s="24" t="inlineStr">
        <is>
          <t>Downwell</t>
        </is>
      </c>
      <c r="D237" s="24" t="inlineStr">
        <is>
          <t>Chaos</t>
        </is>
      </c>
      <c r="E237" s="24" t="inlineStr">
        <is>
          <t>Spell</t>
        </is>
      </c>
      <c r="F237" s="24" t="inlineStr">
        <is>
          <t>8</t>
        </is>
      </c>
      <c r="G237" s="24" t="inlineStr"/>
      <c r="H237" s="24" t="inlineStr">
        <is>
          <t>Epic</t>
        </is>
      </c>
      <c r="I237" s="24" t="inlineStr"/>
      <c r="J237" s="25" t="inlineStr">
        <is>
          <t>Return all units and gear to their owners' hands.</t>
        </is>
      </c>
    </row>
    <row r="238" ht="15" customHeight="1">
      <c r="A238" s="24" t="inlineStr">
        <is>
          <t>SFD-148</t>
        </is>
      </c>
      <c r="B238" s="24" t="inlineStr"/>
      <c r="C238" s="24" t="inlineStr">
        <is>
          <t>Draven - Audacious</t>
        </is>
      </c>
      <c r="D238" s="24" t="inlineStr">
        <is>
          <t>Chaos</t>
        </is>
      </c>
      <c r="E238" s="24" t="inlineStr">
        <is>
          <t>Champion Unit</t>
        </is>
      </c>
      <c r="F238" s="24" t="inlineStr">
        <is>
          <t>6</t>
        </is>
      </c>
      <c r="G238" s="24" t="inlineStr">
        <is>
          <t>6</t>
        </is>
      </c>
      <c r="H238" s="24" t="inlineStr">
        <is>
          <t>Epic</t>
        </is>
      </c>
      <c r="I238" s="24" t="inlineStr">
        <is>
          <t>Noxus;Draven</t>
        </is>
      </c>
      <c r="J238" s="25" t="inlineStr">
        <is>
          <t>[DEFLECT] (Opponents must pay 1 Rune to choose me with a spell or ability.) The first time I win a combat each turn, you score 1 point. When I die in combat, choose an opponent. They score 1 point.</t>
        </is>
      </c>
    </row>
    <row r="239" ht="15" customHeight="1">
      <c r="A239" s="24" t="inlineStr">
        <is>
          <t>SFD-149</t>
        </is>
      </c>
      <c r="B239" s="24" t="inlineStr"/>
      <c r="C239" s="24" t="inlineStr">
        <is>
          <t>Ezreal - Prodigy</t>
        </is>
      </c>
      <c r="D239" s="24" t="inlineStr">
        <is>
          <t>Chaos</t>
        </is>
      </c>
      <c r="E239" s="24" t="inlineStr">
        <is>
          <t>Champion Unit</t>
        </is>
      </c>
      <c r="F239" s="24" t="inlineStr">
        <is>
          <t>3</t>
        </is>
      </c>
      <c r="G239" s="24" t="inlineStr">
        <is>
          <t>3</t>
        </is>
      </c>
      <c r="H239" s="24" t="inlineStr">
        <is>
          <t>Epic</t>
        </is>
      </c>
      <c r="I239" s="24" t="inlineStr">
        <is>
          <t>Piltover;Ezreal</t>
        </is>
      </c>
      <c r="J239" s="25" t="inlineStr">
        <is>
          <t>When you play me, discard 1, then draw 2. Optional additional costs you pay cost 1 or 1 Rune less.</t>
        </is>
      </c>
    </row>
    <row r="240" ht="15" customHeight="1">
      <c r="A240" s="24" t="inlineStr">
        <is>
          <t>SFD-150</t>
        </is>
      </c>
      <c r="B240" s="24" t="inlineStr"/>
      <c r="C240" s="24" t="inlineStr">
        <is>
          <t>Last Rites</t>
        </is>
      </c>
      <c r="D240" s="24" t="inlineStr">
        <is>
          <t>Chaos</t>
        </is>
      </c>
      <c r="E240" s="24" t="inlineStr">
        <is>
          <t>Gear</t>
        </is>
      </c>
      <c r="F240" s="24" t="inlineStr">
        <is>
          <t>3</t>
        </is>
      </c>
      <c r="G240" s="24" t="inlineStr">
        <is>
          <t>2</t>
        </is>
      </c>
      <c r="H240" s="24" t="inlineStr">
        <is>
          <t>Epic</t>
        </is>
      </c>
      <c r="I240" s="24" t="inlineStr">
        <is>
          <t>Equipment</t>
        </is>
      </c>
      <c r="J240" s="25" t="inlineStr">
        <is>
          <t>[EQUIP] — Chaos, Recycle 2 cards from your trash. (Pay the cost: Attach this to a unit you control.) When I conquer or hold, you may play a unit from your trash. (You still pay its costs.)</t>
        </is>
      </c>
    </row>
    <row r="241" ht="15" customHeight="1">
      <c r="A241" s="26" t="inlineStr">
        <is>
          <t>SFD-165</t>
        </is>
      </c>
      <c r="B241" s="26" t="inlineStr"/>
      <c r="C241" s="26" t="inlineStr">
        <is>
          <t>Glasc Mixologist</t>
        </is>
      </c>
      <c r="D241" s="26" t="inlineStr">
        <is>
          <t>Order</t>
        </is>
      </c>
      <c r="E241" s="26" t="inlineStr">
        <is>
          <t>Unit</t>
        </is>
      </c>
      <c r="F241" s="26" t="inlineStr">
        <is>
          <t>5</t>
        </is>
      </c>
      <c r="G241" s="26" t="inlineStr">
        <is>
          <t>5</t>
        </is>
      </c>
      <c r="H241" s="26" t="inlineStr">
        <is>
          <t>Uncommon</t>
        </is>
      </c>
      <c r="I241" s="26" t="inlineStr">
        <is>
          <t>Zaun</t>
        </is>
      </c>
      <c r="J241" s="27" t="inlineStr">
        <is>
          <t>[DEATHKNELL] — You may play a unit with cost no more than 3 and no more than  from your trash, ignoring its cost. (When I die, get the effect.)</t>
        </is>
      </c>
    </row>
    <row r="242" ht="15" customHeight="1">
      <c r="A242" s="26" t="inlineStr">
        <is>
          <t>SFD-170</t>
        </is>
      </c>
      <c r="B242" s="26" t="inlineStr"/>
      <c r="C242" s="26" t="inlineStr">
        <is>
          <t>Rek'Sai - Swarm Queen</t>
        </is>
      </c>
      <c r="D242" s="26" t="inlineStr">
        <is>
          <t>Order</t>
        </is>
      </c>
      <c r="E242" s="26" t="inlineStr">
        <is>
          <t>Champion Unit</t>
        </is>
      </c>
      <c r="F242" s="26" t="inlineStr">
        <is>
          <t>5</t>
        </is>
      </c>
      <c r="G242" s="26" t="inlineStr">
        <is>
          <t>5</t>
        </is>
      </c>
      <c r="H242" s="26" t="inlineStr">
        <is>
          <t>Rare</t>
        </is>
      </c>
      <c r="I242" s="26" t="inlineStr">
        <is>
          <t>The Void;Rek'Sai</t>
        </is>
      </c>
      <c r="J242" s="27" t="inlineStr">
        <is>
          <t>When I attack, you may reveal the top 2 cards of your Main Deck. You may play one. Then recycle the rest. If the played card is a unit, you may play it here.</t>
        </is>
      </c>
    </row>
    <row r="243" ht="15" customHeight="1">
      <c r="A243" s="26" t="inlineStr">
        <is>
          <t>SFD-173</t>
        </is>
      </c>
      <c r="B243" s="26" t="inlineStr"/>
      <c r="C243" s="26" t="inlineStr">
        <is>
          <t>Soraka - Wanderer</t>
        </is>
      </c>
      <c r="D243" s="26" t="inlineStr">
        <is>
          <t>Order</t>
        </is>
      </c>
      <c r="E243" s="26" t="inlineStr">
        <is>
          <t>Champion Unit</t>
        </is>
      </c>
      <c r="F243" s="26" t="inlineStr">
        <is>
          <t>4</t>
        </is>
      </c>
      <c r="G243" s="26" t="inlineStr">
        <is>
          <t>4</t>
        </is>
      </c>
      <c r="H243" s="26" t="inlineStr">
        <is>
          <t>Rare</t>
        </is>
      </c>
      <c r="I243" s="26" t="inlineStr">
        <is>
          <t>Mount Targon;Soraka</t>
        </is>
      </c>
      <c r="J243" s="27" t="inlineStr">
        <is>
          <t>I must be assigned combat damage last. If another unit you control here would die, if it has less Might than me, instead heal it, exhaust it, and recall it. (Send it to base. This isn't a move.)</t>
        </is>
      </c>
    </row>
    <row r="244" ht="15" customHeight="1">
      <c r="A244" s="26" t="inlineStr">
        <is>
          <t>SFD-174</t>
        </is>
      </c>
      <c r="B244" s="26" t="inlineStr"/>
      <c r="C244" s="26" t="inlineStr">
        <is>
          <t>Trove Golem</t>
        </is>
      </c>
      <c r="D244" s="26" t="inlineStr">
        <is>
          <t>Order</t>
        </is>
      </c>
      <c r="E244" s="26" t="inlineStr">
        <is>
          <t>Unit</t>
        </is>
      </c>
      <c r="F244" s="26" t="inlineStr">
        <is>
          <t>8</t>
        </is>
      </c>
      <c r="G244" s="26" t="inlineStr">
        <is>
          <t>9</t>
        </is>
      </c>
      <c r="H244" s="26" t="inlineStr">
        <is>
          <t>Rare</t>
        </is>
      </c>
      <c r="I244" s="26" t="inlineStr">
        <is>
          <t>Freljord</t>
        </is>
      </c>
      <c r="J244" s="27" t="inlineStr">
        <is>
          <t>When you play me, play four Gold gear tokens exhausted.</t>
        </is>
      </c>
    </row>
    <row r="245" ht="15" customHeight="1">
      <c r="A245" s="26" t="inlineStr">
        <is>
          <t>SFD-176</t>
        </is>
      </c>
      <c r="B245" s="26" t="inlineStr"/>
      <c r="C245" s="26" t="inlineStr">
        <is>
          <t>Xin Zhao - Vigilant</t>
        </is>
      </c>
      <c r="D245" s="26" t="inlineStr">
        <is>
          <t>Order</t>
        </is>
      </c>
      <c r="E245" s="26" t="inlineStr">
        <is>
          <t>Champion Unit</t>
        </is>
      </c>
      <c r="F245" s="26" t="inlineStr">
        <is>
          <t>3</t>
        </is>
      </c>
      <c r="G245" s="26" t="inlineStr">
        <is>
          <t>4</t>
        </is>
      </c>
      <c r="H245" s="26" t="inlineStr">
        <is>
          <t>Rare</t>
        </is>
      </c>
      <c r="I245" s="26" t="inlineStr">
        <is>
          <t>Demacia;Xin Zhao</t>
        </is>
      </c>
      <c r="J245" s="27" t="inlineStr">
        <is>
          <t>[TANK] (I must be assigned combat damage first.)
I enter ready if you have two or more other units in your base.</t>
        </is>
      </c>
    </row>
    <row r="246" ht="15" customHeight="1">
      <c r="A246" s="26" t="inlineStr">
        <is>
          <t>SFD-178</t>
        </is>
      </c>
      <c r="B246" s="26" t="inlineStr"/>
      <c r="C246" s="26" t="inlineStr">
        <is>
          <t>Blade of the Ruined King</t>
        </is>
      </c>
      <c r="D246" s="26" t="inlineStr">
        <is>
          <t>Order</t>
        </is>
      </c>
      <c r="E246" s="26" t="inlineStr">
        <is>
          <t>Gear</t>
        </is>
      </c>
      <c r="F246" s="26" t="inlineStr">
        <is>
          <t>3</t>
        </is>
      </c>
      <c r="G246" s="26" t="inlineStr">
        <is>
          <t>0</t>
        </is>
      </c>
      <c r="H246" s="26" t="inlineStr">
        <is>
          <t>Epic</t>
        </is>
      </c>
      <c r="I246" s="26" t="inlineStr">
        <is>
          <t>Equipment</t>
        </is>
      </c>
      <c r="J246" s="27" t="inlineStr">
        <is>
          <t>[EQUIP] — Order, Kill a friendly unit (Pay the cost: Attach this to a unit you control.) +4 Might</t>
        </is>
      </c>
    </row>
    <row r="247" ht="15" customHeight="1">
      <c r="A247" s="26" t="inlineStr">
        <is>
          <t>SFD-179</t>
        </is>
      </c>
      <c r="B247" s="26" t="inlineStr"/>
      <c r="C247" s="26" t="inlineStr">
        <is>
          <t>Corina Veraza</t>
        </is>
      </c>
      <c r="D247" s="26" t="inlineStr">
        <is>
          <t>Order</t>
        </is>
      </c>
      <c r="E247" s="26" t="inlineStr">
        <is>
          <t>Unit</t>
        </is>
      </c>
      <c r="F247" s="26" t="inlineStr">
        <is>
          <t>7</t>
        </is>
      </c>
      <c r="G247" s="26" t="inlineStr">
        <is>
          <t>6</t>
        </is>
      </c>
      <c r="H247" s="26" t="inlineStr">
        <is>
          <t>Epic</t>
        </is>
      </c>
      <c r="I247" s="26" t="inlineStr">
        <is>
          <t>Zaun</t>
        </is>
      </c>
      <c r="J247" s="27" t="inlineStr">
        <is>
          <t>[ACCELERATE] (You may pay 1 and Order as an additional cost to have me enter ready.) When I move to a battlefield, play three 1 Might Recruit unit tokens here.</t>
        </is>
      </c>
    </row>
    <row r="248" ht="15" customHeight="1">
      <c r="A248" s="16" t="inlineStr">
        <is>
          <t>SFD-184</t>
        </is>
      </c>
      <c r="B248" s="16" t="inlineStr"/>
      <c r="C248" s="16" t="inlineStr">
        <is>
          <t>Relentless Pursuit</t>
        </is>
      </c>
      <c r="D248" s="16" t="inlineStr">
        <is>
          <t>Fury;Body</t>
        </is>
      </c>
      <c r="E248" s="16" t="inlineStr">
        <is>
          <t>Signature Spell</t>
        </is>
      </c>
      <c r="F248" s="16" t="inlineStr">
        <is>
          <t>2</t>
        </is>
      </c>
      <c r="G248" s="16" t="inlineStr">
        <is>
          <t>0</t>
        </is>
      </c>
      <c r="H248" s="16" t="inlineStr">
        <is>
          <t>Epic</t>
        </is>
      </c>
      <c r="I248" s="16" t="inlineStr">
        <is>
          <t>Lucian</t>
        </is>
      </c>
      <c r="J248" s="17" t="inlineStr">
        <is>
          <t>[ACTION] (Play on your turn or in showdowns.) Move a friendly unit. You may attach an Equipment with the same controller to it. This turn, that unit has "When I conquer, you may move me to my base."</t>
        </is>
      </c>
    </row>
    <row r="249" ht="15" customHeight="1">
      <c r="A249" s="16" t="inlineStr">
        <is>
          <t>SFD-186</t>
        </is>
      </c>
      <c r="B249" s="16" t="inlineStr"/>
      <c r="C249" s="16" t="inlineStr">
        <is>
          <t>Spinning Axe</t>
        </is>
      </c>
      <c r="D249" s="16" t="inlineStr">
        <is>
          <t>Fury;Chaos</t>
        </is>
      </c>
      <c r="E249" s="16" t="inlineStr">
        <is>
          <t>Signature Gear</t>
        </is>
      </c>
      <c r="F249" s="16" t="inlineStr">
        <is>
          <t>2</t>
        </is>
      </c>
      <c r="G249" s="16" t="inlineStr">
        <is>
          <t>0</t>
        </is>
      </c>
      <c r="H249" s="16" t="inlineStr">
        <is>
          <t>Epic</t>
        </is>
      </c>
      <c r="I249" s="16" t="inlineStr">
        <is>
          <t>Draven;Equipment</t>
        </is>
      </c>
      <c r="J249" s="17" t="inlineStr">
        <is>
          <t>[QUICK-DRAW] (This has REACTION. When you play it, attach it to a unit you control.) [EQUIP 1 Rune] (1 Rune: Attach this to a unit you control.) TEMPORARY (If this is unattached, kill it at the start of its controller's Beginning Phase, before scoring.)</t>
        </is>
      </c>
    </row>
    <row r="250" ht="15" customHeight="1">
      <c r="A250" s="16" t="inlineStr">
        <is>
          <t>SFD-188</t>
        </is>
      </c>
      <c r="B250" s="16" t="inlineStr"/>
      <c r="C250" s="16" t="inlineStr">
        <is>
          <t>Void Rush</t>
        </is>
      </c>
      <c r="D250" s="16" t="inlineStr">
        <is>
          <t>Fury;Order</t>
        </is>
      </c>
      <c r="E250" s="16" t="inlineStr">
        <is>
          <t>Signature Spell</t>
        </is>
      </c>
      <c r="F250" s="16" t="inlineStr">
        <is>
          <t>2</t>
        </is>
      </c>
      <c r="G250" s="16" t="inlineStr">
        <is>
          <t>0</t>
        </is>
      </c>
      <c r="H250" s="16" t="inlineStr">
        <is>
          <t>Epic</t>
        </is>
      </c>
      <c r="I250" s="16" t="inlineStr">
        <is>
          <t>Rek'Sai</t>
        </is>
      </c>
      <c r="J250" s="17" t="inlineStr">
        <is>
          <t>Reveal the top 2 cards of your Main Deck. You may play one of them, reducing its cost by 2. Draw any you did not play this way.</t>
        </is>
      </c>
    </row>
    <row r="251" ht="15" customHeight="1">
      <c r="A251" s="20" t="inlineStr">
        <is>
          <t>SFD-190</t>
        </is>
      </c>
      <c r="B251" s="20" t="inlineStr"/>
      <c r="C251" s="20" t="inlineStr">
        <is>
          <t>Forgefire Cape</t>
        </is>
      </c>
      <c r="D251" s="20" t="inlineStr">
        <is>
          <t>Mind;Body</t>
        </is>
      </c>
      <c r="E251" s="20" t="inlineStr">
        <is>
          <t>Signature Gear</t>
        </is>
      </c>
      <c r="F251" s="20" t="inlineStr">
        <is>
          <t>4</t>
        </is>
      </c>
      <c r="G251" s="20" t="inlineStr"/>
      <c r="H251" s="20" t="inlineStr">
        <is>
          <t>Epic</t>
        </is>
      </c>
      <c r="I251" s="20" t="inlineStr">
        <is>
          <t>Equipment;Ornn</t>
        </is>
      </c>
      <c r="J251" s="21" t="inlineStr">
        <is>
          <t>[UNIQUE] (Your deck can have only 1 card with this name.) [EQUIP Rune] (Rune: Attach this to a unit you control.) When I attack or defend, deal 2 to all enemy units here. +3 Might.</t>
        </is>
      </c>
    </row>
    <row r="252" ht="15" customHeight="1">
      <c r="A252" s="18" t="inlineStr">
        <is>
          <t>SFD-191</t>
        </is>
      </c>
      <c r="B252" s="18" t="inlineStr"/>
      <c r="C252" s="18" t="inlineStr">
        <is>
          <t>Rabadon's Deathcrown</t>
        </is>
      </c>
      <c r="D252" s="18" t="inlineStr">
        <is>
          <t>Calm;Mind</t>
        </is>
      </c>
      <c r="E252" s="18" t="inlineStr">
        <is>
          <t>Signature Gear</t>
        </is>
      </c>
      <c r="F252" s="18" t="inlineStr">
        <is>
          <t>4</t>
        </is>
      </c>
      <c r="G252" s="18" t="inlineStr"/>
      <c r="H252" s="18" t="inlineStr">
        <is>
          <t>Epic</t>
        </is>
      </c>
      <c r="I252" s="18" t="inlineStr">
        <is>
          <t>Equipment;Ornn</t>
        </is>
      </c>
      <c r="J252" s="19" t="inlineStr">
        <is>
          <t>[UNIQUE] (Your deck can have only 1 card with this name.) [EQUIP Rune] (Rune: Attach this to a unit you control.) Your spells and abilities deal 3 Bonus Damage (while this is attached). +3 Might</t>
        </is>
      </c>
    </row>
    <row r="253" ht="15" customHeight="1">
      <c r="A253" s="18" t="inlineStr">
        <is>
          <t>SFD-192</t>
        </is>
      </c>
      <c r="B253" s="18" t="inlineStr"/>
      <c r="C253" s="18" t="inlineStr">
        <is>
          <t>Shurelya's Requiem</t>
        </is>
      </c>
      <c r="D253" s="18" t="inlineStr">
        <is>
          <t>Calm;Mind</t>
        </is>
      </c>
      <c r="E253" s="18" t="inlineStr">
        <is>
          <t>Signature Gear</t>
        </is>
      </c>
      <c r="F253" s="18" t="inlineStr">
        <is>
          <t>4</t>
        </is>
      </c>
      <c r="G253" s="18" t="inlineStr"/>
      <c r="H253" s="18" t="inlineStr">
        <is>
          <t>Epic</t>
        </is>
      </c>
      <c r="I253" s="18" t="inlineStr">
        <is>
          <t>Equipment;Ornn</t>
        </is>
      </c>
      <c r="J253" s="19" t="inlineStr">
        <is>
          <t>[UNIQUE] (Your deck can have only 1 card with this name.) [EQUIP Rune] (Rune: Attach this to a unit you control.) When you play this, ready your units. Your units here have [GANKING] (We can move from battlefield to battlefield.). +2 Might</t>
        </is>
      </c>
    </row>
    <row r="254" ht="15" customHeight="1">
      <c r="A254" s="18" t="inlineStr">
        <is>
          <t>SFD-194</t>
        </is>
      </c>
      <c r="B254" s="18" t="inlineStr"/>
      <c r="C254" s="18" t="inlineStr">
        <is>
          <t>Counter Strike</t>
        </is>
      </c>
      <c r="D254" s="18" t="inlineStr">
        <is>
          <t>Calm;Body</t>
        </is>
      </c>
      <c r="E254" s="18" t="inlineStr">
        <is>
          <t>Signature Spell</t>
        </is>
      </c>
      <c r="F254" s="18" t="inlineStr">
        <is>
          <t>2</t>
        </is>
      </c>
      <c r="G254" s="18" t="inlineStr"/>
      <c r="H254" s="18" t="inlineStr">
        <is>
          <t>Epic</t>
        </is>
      </c>
      <c r="I254" s="18" t="inlineStr">
        <is>
          <t>Jax</t>
        </is>
      </c>
      <c r="J254" s="19" t="inlineStr">
        <is>
          <t>[REACTION] (Play any time, even before spells and abilities resolve.) Choose a unit. The next time that unit would be dealt damage this turn, prevent it. Draw 1.</t>
        </is>
      </c>
    </row>
    <row r="255" ht="15" customHeight="1">
      <c r="A255" s="18" t="inlineStr">
        <is>
          <t>SFD-196</t>
        </is>
      </c>
      <c r="B255" s="18" t="inlineStr"/>
      <c r="C255" s="18" t="inlineStr">
        <is>
          <t>Defiant Dance</t>
        </is>
      </c>
      <c r="D255" s="18" t="inlineStr">
        <is>
          <t>Calm;Chaos</t>
        </is>
      </c>
      <c r="E255" s="18" t="inlineStr">
        <is>
          <t>Signature Spell</t>
        </is>
      </c>
      <c r="F255" s="18" t="inlineStr">
        <is>
          <t>1</t>
        </is>
      </c>
      <c r="G255" s="18" t="inlineStr">
        <is>
          <t>0</t>
        </is>
      </c>
      <c r="H255" s="18" t="inlineStr">
        <is>
          <t>Epic</t>
        </is>
      </c>
      <c r="I255" s="18" t="inlineStr">
        <is>
          <t>Irelia</t>
        </is>
      </c>
      <c r="J255" s="19" t="inlineStr">
        <is>
          <t>[REACTION] (Play any time, even before spells and abilities resolve.) Give a unit +2 Might this turn and another unit -2 Might this turn.</t>
        </is>
      </c>
    </row>
    <row r="256" ht="15" customHeight="1">
      <c r="A256" s="20" t="inlineStr">
        <is>
          <t>SFD-200</t>
        </is>
      </c>
      <c r="B256" s="20" t="inlineStr"/>
      <c r="C256" s="20" t="inlineStr">
        <is>
          <t>Arcane Shift</t>
        </is>
      </c>
      <c r="D256" s="20" t="inlineStr">
        <is>
          <t>Mind;Chaos</t>
        </is>
      </c>
      <c r="E256" s="20" t="inlineStr">
        <is>
          <t>Signature Spell</t>
        </is>
      </c>
      <c r="F256" s="20" t="inlineStr">
        <is>
          <t>3</t>
        </is>
      </c>
      <c r="G256" s="20" t="inlineStr"/>
      <c r="H256" s="20" t="inlineStr">
        <is>
          <t>Epic</t>
        </is>
      </c>
      <c r="I256" s="20" t="inlineStr">
        <is>
          <t>Ezreal</t>
        </is>
      </c>
      <c r="J256" s="21" t="inlineStr">
        <is>
          <t>[ACTION] (Play on your turn or in showdowns.) Banish a friendly unit, then its owner lays it, ignoring its cost. Deal 3 to an enemy unit at a battlefield. Banish this.</t>
        </is>
      </c>
    </row>
    <row r="257" ht="15" customHeight="1">
      <c r="A257" s="20" t="inlineStr">
        <is>
          <t>SFD-202</t>
        </is>
      </c>
      <c r="B257" s="20" t="inlineStr"/>
      <c r="C257" s="20" t="inlineStr">
        <is>
          <t>Hostile Takeover</t>
        </is>
      </c>
      <c r="D257" s="20" t="inlineStr">
        <is>
          <t>Mind;Order</t>
        </is>
      </c>
      <c r="E257" s="20" t="inlineStr">
        <is>
          <t>Signature Spell</t>
        </is>
      </c>
      <c r="F257" s="20" t="inlineStr">
        <is>
          <t>5</t>
        </is>
      </c>
      <c r="G257" s="20" t="inlineStr"/>
      <c r="H257" s="20" t="inlineStr">
        <is>
          <t>Epic</t>
        </is>
      </c>
      <c r="I257" s="20" t="inlineStr">
        <is>
          <t>Renata Glasc</t>
        </is>
      </c>
      <c r="J257" s="21" t="inlineStr">
        <is>
          <t>[Hidden] (Hide now for Rune to react with later for 0) Take control of an enemy unit at a battlefield. Ready it. (Start a combat if other enemies are there. Otherwise, conquer.) Lose control of that unit and recall it at end of turn. (Send it to base. This isn't a move.)</t>
        </is>
      </c>
    </row>
    <row r="258" ht="15" customHeight="1">
      <c r="A258" s="22" t="inlineStr">
        <is>
          <t>SFD-204</t>
        </is>
      </c>
      <c r="B258" s="22" t="inlineStr"/>
      <c r="C258" s="22" t="inlineStr">
        <is>
          <t>On the Hunt</t>
        </is>
      </c>
      <c r="D258" s="22" t="inlineStr">
        <is>
          <t>Body;Chaos</t>
        </is>
      </c>
      <c r="E258" s="22" t="inlineStr">
        <is>
          <t>Signature Spell</t>
        </is>
      </c>
      <c r="F258" s="22" t="inlineStr">
        <is>
          <t>1</t>
        </is>
      </c>
      <c r="G258" s="22" t="inlineStr"/>
      <c r="H258" s="22" t="inlineStr">
        <is>
          <t>Epic</t>
        </is>
      </c>
      <c r="I258" s="22" t="inlineStr">
        <is>
          <t>Sivir</t>
        </is>
      </c>
      <c r="J258" s="23" t="inlineStr">
        <is>
          <t>Ready your units.</t>
        </is>
      </c>
    </row>
    <row r="259" ht="15" customHeight="1">
      <c r="A259" s="30" t="inlineStr">
        <is>
          <t>SFD-217</t>
        </is>
      </c>
      <c r="B259" s="30" t="inlineStr"/>
      <c r="C259" s="30" t="inlineStr">
        <is>
          <t>Seat of Power</t>
        </is>
      </c>
      <c r="D259" s="30" t="inlineStr">
        <is>
          <t>Colorless</t>
        </is>
      </c>
      <c r="E259" s="30" t="inlineStr">
        <is>
          <t>Battlefield</t>
        </is>
      </c>
      <c r="F259" s="30" t="inlineStr"/>
      <c r="G259" s="30" t="inlineStr"/>
      <c r="H259" s="30" t="inlineStr">
        <is>
          <t>Uncommon</t>
        </is>
      </c>
      <c r="I259" s="30" t="inlineStr"/>
      <c r="J259" s="31" t="inlineStr">
        <is>
          <t>When you conquer here, draw 1 for each other battlefield you or allies control.</t>
        </is>
      </c>
    </row>
    <row r="260" ht="15" customHeight="1"/>
    <row r="261" ht="15" customHeight="1"/>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46"/>
  <sheetViews>
    <sheetView workbookViewId="0">
      <pane ySplit="1" topLeftCell="A2" activePane="bottomLeft" state="frozen"/>
      <selection pane="bottomLeft" activeCell="A1" sqref="A1"/>
    </sheetView>
  </sheetViews>
  <sheetFormatPr baseColWidth="8" defaultRowHeight="15"/>
  <cols>
    <col width="10" customWidth="1" min="1" max="1"/>
    <col width="5" customWidth="1" min="2" max="2"/>
    <col width="30" customWidth="1" min="3" max="3"/>
    <col width="14" customWidth="1" min="4" max="4"/>
    <col width="16" customWidth="1" min="5" max="5"/>
    <col width="5" customWidth="1" min="6" max="6"/>
    <col width="6" customWidth="1" min="7" max="7"/>
    <col width="11" customWidth="1" min="8" max="8"/>
    <col width="18" customWidth="1" min="9" max="9"/>
    <col width="65" customWidth="1" min="10" max="10"/>
  </cols>
  <sheetData>
    <row r="1" ht="18" customHeight="1">
      <c r="A1" s="1" t="inlineStr">
        <is>
          <t>Card ID</t>
        </is>
      </c>
      <c r="B1" s="1" t="inlineStr">
        <is>
          <t>Qty</t>
        </is>
      </c>
      <c r="C1" s="1" t="inlineStr">
        <is>
          <t>Name</t>
        </is>
      </c>
      <c r="D1" s="1" t="inlineStr">
        <is>
          <t>Domain</t>
        </is>
      </c>
      <c r="E1" s="1" t="inlineStr">
        <is>
          <t>Type</t>
        </is>
      </c>
      <c r="F1" s="1" t="inlineStr">
        <is>
          <t>Cost</t>
        </is>
      </c>
      <c r="G1" s="1" t="inlineStr">
        <is>
          <t>Might</t>
        </is>
      </c>
      <c r="H1" s="1" t="inlineStr">
        <is>
          <t>Rarity</t>
        </is>
      </c>
      <c r="I1" s="1" t="inlineStr">
        <is>
          <t>Tags</t>
        </is>
      </c>
      <c r="J1" s="1" t="inlineStr">
        <is>
          <t>Ability</t>
        </is>
      </c>
    </row>
    <row r="2" ht="15" customHeight="1">
      <c r="A2" s="57" t="inlineStr">
        <is>
          <t>OGN-001</t>
        </is>
      </c>
      <c r="B2" s="57" t="n">
        <v>3</v>
      </c>
      <c r="C2" s="57" t="inlineStr">
        <is>
          <t>Blazing Scorcher</t>
        </is>
      </c>
      <c r="D2" s="57" t="inlineStr">
        <is>
          <t>Fury</t>
        </is>
      </c>
      <c r="E2" s="57" t="inlineStr">
        <is>
          <t>Unit</t>
        </is>
      </c>
      <c r="F2" s="57" t="inlineStr">
        <is>
          <t>5</t>
        </is>
      </c>
      <c r="G2" s="57" t="inlineStr">
        <is>
          <t>5</t>
        </is>
      </c>
      <c r="H2" s="57" t="inlineStr">
        <is>
          <t>Common</t>
        </is>
      </c>
      <c r="I2" s="57" t="inlineStr">
        <is>
          <t>Noxus;Dragon</t>
        </is>
      </c>
      <c r="J2" s="3" t="inlineStr">
        <is>
          <t>ACCELERATE (You may pay 1 Fury as an additional cost to have me enter ready.)</t>
        </is>
      </c>
    </row>
    <row r="3" ht="15" customHeight="1">
      <c r="A3" s="57" t="inlineStr">
        <is>
          <t>OGN-002</t>
        </is>
      </c>
      <c r="B3" s="57" t="n">
        <v>3</v>
      </c>
      <c r="C3" s="57" t="inlineStr">
        <is>
          <t>Brazen Buccaneer</t>
        </is>
      </c>
      <c r="D3" s="57" t="inlineStr">
        <is>
          <t>Fury</t>
        </is>
      </c>
      <c r="E3" s="57" t="inlineStr">
        <is>
          <t>Unit</t>
        </is>
      </c>
      <c r="F3" s="57" t="inlineStr">
        <is>
          <t>6</t>
        </is>
      </c>
      <c r="G3" s="57" t="inlineStr">
        <is>
          <t>5</t>
        </is>
      </c>
      <c r="H3" s="57" t="inlineStr">
        <is>
          <t>Common</t>
        </is>
      </c>
      <c r="I3" s="57" t="inlineStr">
        <is>
          <t>Bilgewater;Pirate</t>
        </is>
      </c>
      <c r="J3" s="3" t="inlineStr">
        <is>
          <t>As you play me, you may discard a card as an additional cost. If you do, reduce my cost by 2.</t>
        </is>
      </c>
    </row>
    <row r="4" ht="15" customHeight="1">
      <c r="A4" s="57" t="inlineStr">
        <is>
          <t>OGN-003</t>
        </is>
      </c>
      <c r="B4" s="57" t="n">
        <v>3</v>
      </c>
      <c r="C4" s="57" t="inlineStr">
        <is>
          <t>Chemtech Enforcer</t>
        </is>
      </c>
      <c r="D4" s="57" t="inlineStr">
        <is>
          <t>Fury</t>
        </is>
      </c>
      <c r="E4" s="57" t="inlineStr">
        <is>
          <t>Unit</t>
        </is>
      </c>
      <c r="F4" s="57" t="inlineStr">
        <is>
          <t>2</t>
        </is>
      </c>
      <c r="G4" s="57" t="inlineStr">
        <is>
          <t>2</t>
        </is>
      </c>
      <c r="H4" s="57" t="inlineStr">
        <is>
          <t>Common</t>
        </is>
      </c>
      <c r="I4" s="57" t="inlineStr">
        <is>
          <t>Zaun</t>
        </is>
      </c>
      <c r="J4" s="3" t="inlineStr">
        <is>
          <t>ASSAULT (+2 Might while I'm an attacker.)
When you play me, discard 1.</t>
        </is>
      </c>
    </row>
    <row r="5" ht="15" customHeight="1">
      <c r="A5" s="16" t="inlineStr">
        <is>
          <t>OGN-004</t>
        </is>
      </c>
      <c r="B5" s="16" t="inlineStr"/>
      <c r="C5" s="16" t="inlineStr">
        <is>
          <t>Cleave</t>
        </is>
      </c>
      <c r="D5" s="16" t="inlineStr">
        <is>
          <t>Fury</t>
        </is>
      </c>
      <c r="E5" s="16" t="inlineStr">
        <is>
          <t>Spell</t>
        </is>
      </c>
      <c r="F5" s="16" t="inlineStr">
        <is>
          <t>1</t>
        </is>
      </c>
      <c r="G5" s="16" t="inlineStr">
        <is>
          <t>0</t>
        </is>
      </c>
      <c r="H5" s="16" t="inlineStr">
        <is>
          <t>Common</t>
        </is>
      </c>
      <c r="I5" s="16" t="inlineStr"/>
      <c r="J5" s="17" t="inlineStr">
        <is>
          <t>ACTION (Play on your turn or in showdowns.)Give a unit ASSAULT 3 this turn. (+3 Might while it's an attacker.)</t>
        </is>
      </c>
    </row>
    <row r="6" ht="15" customHeight="1">
      <c r="A6" s="16" t="inlineStr">
        <is>
          <t>OGN-005</t>
        </is>
      </c>
      <c r="B6" s="16" t="inlineStr"/>
      <c r="C6" s="16" t="inlineStr">
        <is>
          <t>Disintegrate</t>
        </is>
      </c>
      <c r="D6" s="16" t="inlineStr">
        <is>
          <t>Fury</t>
        </is>
      </c>
      <c r="E6" s="16" t="inlineStr">
        <is>
          <t>Spell</t>
        </is>
      </c>
      <c r="F6" s="16" t="inlineStr">
        <is>
          <t>4</t>
        </is>
      </c>
      <c r="G6" s="16" t="inlineStr">
        <is>
          <t>0</t>
        </is>
      </c>
      <c r="H6" s="16" t="inlineStr">
        <is>
          <t>Common</t>
        </is>
      </c>
      <c r="I6" s="16" t="inlineStr"/>
      <c r="J6" s="17" t="inlineStr">
        <is>
          <t>ACTION (Play on your turn or in showdowns.)
Deal 3 to a unit at a battlefield. If this kills it, draw 1.</t>
        </is>
      </c>
    </row>
    <row r="7" ht="15" customHeight="1">
      <c r="A7" s="57" t="inlineStr">
        <is>
          <t>OGN-006</t>
        </is>
      </c>
      <c r="B7" s="57" t="n">
        <v>3</v>
      </c>
      <c r="C7" s="57" t="inlineStr">
        <is>
          <t>Flame Chompers</t>
        </is>
      </c>
      <c r="D7" s="57" t="inlineStr">
        <is>
          <t>Fury</t>
        </is>
      </c>
      <c r="E7" s="57" t="inlineStr">
        <is>
          <t>Unit</t>
        </is>
      </c>
      <c r="F7" s="57" t="inlineStr">
        <is>
          <t>3</t>
        </is>
      </c>
      <c r="G7" s="57" t="inlineStr">
        <is>
          <t>3</t>
        </is>
      </c>
      <c r="H7" s="57" t="inlineStr">
        <is>
          <t>Common</t>
        </is>
      </c>
      <c r="I7" s="57" t="inlineStr">
        <is>
          <t>Zaun</t>
        </is>
      </c>
      <c r="J7" s="3" t="inlineStr">
        <is>
          <t>When you discard me, you may pay 1 Fury to play me.</t>
        </is>
      </c>
    </row>
    <row r="8" ht="15" customHeight="1">
      <c r="A8" s="16" t="inlineStr">
        <is>
          <t>OGN-007</t>
        </is>
      </c>
      <c r="B8" s="16" t="inlineStr"/>
      <c r="C8" s="16" t="inlineStr">
        <is>
          <t>Fury Rune</t>
        </is>
      </c>
      <c r="D8" s="16" t="inlineStr">
        <is>
          <t>Fury</t>
        </is>
      </c>
      <c r="E8" s="16" t="inlineStr">
        <is>
          <t>Rune</t>
        </is>
      </c>
      <c r="F8" s="16" t="inlineStr">
        <is>
          <t>0</t>
        </is>
      </c>
      <c r="G8" s="16" t="inlineStr">
        <is>
          <t>0</t>
        </is>
      </c>
      <c r="H8" s="16" t="inlineStr">
        <is>
          <t>Common</t>
        </is>
      </c>
      <c r="I8" s="16" t="inlineStr"/>
      <c r="J8" s="17" t="inlineStr"/>
    </row>
    <row r="9" ht="15" customHeight="1">
      <c r="A9" s="57" t="inlineStr">
        <is>
          <t>OGN-008</t>
        </is>
      </c>
      <c r="B9" s="57" t="n">
        <v>2</v>
      </c>
      <c r="C9" s="57" t="inlineStr">
        <is>
          <t>Get Excited!</t>
        </is>
      </c>
      <c r="D9" s="57" t="inlineStr">
        <is>
          <t>Fury</t>
        </is>
      </c>
      <c r="E9" s="57" t="inlineStr">
        <is>
          <t>Spell</t>
        </is>
      </c>
      <c r="F9" s="57" t="inlineStr">
        <is>
          <t>2</t>
        </is>
      </c>
      <c r="G9" s="57" t="inlineStr">
        <is>
          <t>0</t>
        </is>
      </c>
      <c r="H9" s="57" t="inlineStr">
        <is>
          <t>Common</t>
        </is>
      </c>
      <c r="I9" s="57" t="inlineStr"/>
      <c r="J9" s="3" t="inlineStr">
        <is>
          <t>ACTION (Play on your turn or in showdowns.)
Discard 1. Deal its Energy cost as damage to a unit at a battlefield. (Ignore its Power cost.)</t>
        </is>
      </c>
    </row>
    <row r="10" ht="15" customHeight="1">
      <c r="A10" s="16" t="inlineStr">
        <is>
          <t>OGN-009</t>
        </is>
      </c>
      <c r="B10" s="16" t="inlineStr"/>
      <c r="C10" s="16" t="inlineStr">
        <is>
          <t>Hextech Ray</t>
        </is>
      </c>
      <c r="D10" s="16" t="inlineStr">
        <is>
          <t>Fury</t>
        </is>
      </c>
      <c r="E10" s="16" t="inlineStr">
        <is>
          <t>Spell</t>
        </is>
      </c>
      <c r="F10" s="16" t="inlineStr">
        <is>
          <t>1</t>
        </is>
      </c>
      <c r="G10" s="16" t="inlineStr">
        <is>
          <t>0</t>
        </is>
      </c>
      <c r="H10" s="16" t="inlineStr">
        <is>
          <t>Common</t>
        </is>
      </c>
      <c r="I10" s="16" t="inlineStr"/>
      <c r="J10" s="17" t="inlineStr">
        <is>
          <t>ACTION (Play on your turn or in showdowns.)
Deal 3 to a unit at a battlefield.</t>
        </is>
      </c>
    </row>
    <row r="11" ht="15" customHeight="1">
      <c r="A11" s="57" t="inlineStr">
        <is>
          <t>OGN-010</t>
        </is>
      </c>
      <c r="B11" s="57" t="n">
        <v>1</v>
      </c>
      <c r="C11" s="57" t="inlineStr">
        <is>
          <t>Legion Rearguard</t>
        </is>
      </c>
      <c r="D11" s="57" t="inlineStr">
        <is>
          <t>Fury</t>
        </is>
      </c>
      <c r="E11" s="57" t="inlineStr">
        <is>
          <t>Unit</t>
        </is>
      </c>
      <c r="F11" s="57" t="inlineStr">
        <is>
          <t>2</t>
        </is>
      </c>
      <c r="G11" s="57" t="inlineStr">
        <is>
          <t>2</t>
        </is>
      </c>
      <c r="H11" s="57" t="inlineStr">
        <is>
          <t>Common</t>
        </is>
      </c>
      <c r="I11" s="57" t="inlineStr">
        <is>
          <t>Noxus;Trifarian</t>
        </is>
      </c>
      <c r="J11" s="3" t="inlineStr">
        <is>
          <t>ACCELERATE (You may pay 1 Fury as an additional cost to have me enter ready.)</t>
        </is>
      </c>
    </row>
    <row r="12" ht="15" customHeight="1">
      <c r="A12" s="57" t="inlineStr">
        <is>
          <t>OGN-011</t>
        </is>
      </c>
      <c r="B12" s="57" t="n">
        <v>3</v>
      </c>
      <c r="C12" s="57" t="inlineStr">
        <is>
          <t>Magma Wurm</t>
        </is>
      </c>
      <c r="D12" s="57" t="inlineStr">
        <is>
          <t>Fury</t>
        </is>
      </c>
      <c r="E12" s="57" t="inlineStr">
        <is>
          <t>Unit</t>
        </is>
      </c>
      <c r="F12" s="57" t="inlineStr">
        <is>
          <t>8</t>
        </is>
      </c>
      <c r="G12" s="57" t="inlineStr">
        <is>
          <t>8</t>
        </is>
      </c>
      <c r="H12" s="57" t="inlineStr">
        <is>
          <t>Common</t>
        </is>
      </c>
      <c r="I12" s="57" t="inlineStr">
        <is>
          <t>Freljord</t>
        </is>
      </c>
      <c r="J12" s="3" t="inlineStr">
        <is>
          <t>Other friendly units enter ready.</t>
        </is>
      </c>
    </row>
    <row r="13" ht="15" customHeight="1">
      <c r="A13" s="57" t="inlineStr">
        <is>
          <t>OGN-012</t>
        </is>
      </c>
      <c r="B13" s="57" t="n">
        <v>3</v>
      </c>
      <c r="C13" s="57" t="inlineStr">
        <is>
          <t>Noxus Hopeful</t>
        </is>
      </c>
      <c r="D13" s="57" t="inlineStr">
        <is>
          <t>Fury</t>
        </is>
      </c>
      <c r="E13" s="57" t="inlineStr">
        <is>
          <t>Unit</t>
        </is>
      </c>
      <c r="F13" s="57" t="inlineStr">
        <is>
          <t>4</t>
        </is>
      </c>
      <c r="G13" s="57" t="inlineStr">
        <is>
          <t>4</t>
        </is>
      </c>
      <c r="H13" s="57" t="inlineStr">
        <is>
          <t>Common</t>
        </is>
      </c>
      <c r="I13" s="57" t="inlineStr">
        <is>
          <t>Noxus;Trifarian</t>
        </is>
      </c>
      <c r="J13" s="3" t="inlineStr">
        <is>
          <t>LEGION - I cost 2 less. (Get the effect if you've played another card this turn.)</t>
        </is>
      </c>
    </row>
    <row r="14" ht="15" customHeight="1">
      <c r="A14" s="16" t="inlineStr">
        <is>
          <t>OGN-013</t>
        </is>
      </c>
      <c r="B14" s="16" t="inlineStr"/>
      <c r="C14" s="16" t="inlineStr">
        <is>
          <t>Pouty Poro</t>
        </is>
      </c>
      <c r="D14" s="16" t="inlineStr">
        <is>
          <t>Fury</t>
        </is>
      </c>
      <c r="E14" s="16" t="inlineStr">
        <is>
          <t>Unit</t>
        </is>
      </c>
      <c r="F14" s="16" t="inlineStr">
        <is>
          <t>2</t>
        </is>
      </c>
      <c r="G14" s="16" t="inlineStr">
        <is>
          <t>2</t>
        </is>
      </c>
      <c r="H14" s="16" t="inlineStr">
        <is>
          <t>Common</t>
        </is>
      </c>
      <c r="I14" s="16" t="inlineStr">
        <is>
          <t>Poro</t>
        </is>
      </c>
      <c r="J14" s="17" t="inlineStr">
        <is>
          <t>DEFLECT (Opponents must pay Power to choose me with a spell or ability.)</t>
        </is>
      </c>
    </row>
    <row r="15" ht="15" customHeight="1">
      <c r="A15" s="57" t="inlineStr">
        <is>
          <t>OGN-014</t>
        </is>
      </c>
      <c r="B15" s="57" t="n">
        <v>3</v>
      </c>
      <c r="C15" s="57" t="inlineStr">
        <is>
          <t>Sky Splitter</t>
        </is>
      </c>
      <c r="D15" s="57" t="inlineStr">
        <is>
          <t>Fury</t>
        </is>
      </c>
      <c r="E15" s="57" t="inlineStr">
        <is>
          <t>Spell</t>
        </is>
      </c>
      <c r="F15" s="57" t="inlineStr">
        <is>
          <t>8</t>
        </is>
      </c>
      <c r="G15" s="57" t="inlineStr">
        <is>
          <t>0</t>
        </is>
      </c>
      <c r="H15" s="57" t="inlineStr">
        <is>
          <t>Common</t>
        </is>
      </c>
      <c r="I15" s="57" t="inlineStr"/>
      <c r="J15" s="3" t="inlineStr">
        <is>
          <t>ACTION (Play on your turn or in showdowns.)
This spell's Energy cost is reduced by the highest Might among units you control. 
Deal 5 to a unit at a battlefield.</t>
        </is>
      </c>
    </row>
    <row r="16" ht="15" customHeight="1">
      <c r="A16" s="57" t="inlineStr">
        <is>
          <t>OGN-015</t>
        </is>
      </c>
      <c r="B16" s="57" t="n">
        <v>1</v>
      </c>
      <c r="C16" s="57" t="inlineStr">
        <is>
          <t>Captain Farron</t>
        </is>
      </c>
      <c r="D16" s="57" t="inlineStr">
        <is>
          <t>Fury</t>
        </is>
      </c>
      <c r="E16" s="57" t="inlineStr">
        <is>
          <t>Unit</t>
        </is>
      </c>
      <c r="F16" s="57" t="inlineStr">
        <is>
          <t>4</t>
        </is>
      </c>
      <c r="G16" s="57" t="inlineStr">
        <is>
          <t>5</t>
        </is>
      </c>
      <c r="H16" s="57" t="inlineStr">
        <is>
          <t>Uncommon</t>
        </is>
      </c>
      <c r="I16" s="57" t="inlineStr">
        <is>
          <t>Noxus;Trifarian</t>
        </is>
      </c>
      <c r="J16" s="3" t="inlineStr">
        <is>
          <t>Other friendly units here have ASSAULT. 
(+1 Might while they're attackers.)</t>
        </is>
      </c>
    </row>
    <row r="17" ht="15" customHeight="1">
      <c r="A17" s="57" t="inlineStr">
        <is>
          <t>OGN-016</t>
        </is>
      </c>
      <c r="B17" s="57" t="n">
        <v>3</v>
      </c>
      <c r="C17" s="57" t="inlineStr">
        <is>
          <t>Dangerous Duo</t>
        </is>
      </c>
      <c r="D17" s="57" t="inlineStr">
        <is>
          <t>Fury</t>
        </is>
      </c>
      <c r="E17" s="57" t="inlineStr">
        <is>
          <t>Unit</t>
        </is>
      </c>
      <c r="F17" s="57" t="inlineStr">
        <is>
          <t>3</t>
        </is>
      </c>
      <c r="G17" s="57" t="inlineStr">
        <is>
          <t>3</t>
        </is>
      </c>
      <c r="H17" s="57" t="inlineStr">
        <is>
          <t>Uncommon</t>
        </is>
      </c>
      <c r="I17" s="57" t="inlineStr">
        <is>
          <t>Bandle City;Mech</t>
        </is>
      </c>
      <c r="J17" s="3" t="inlineStr">
        <is>
          <t>LEGION - When you play me, give a unit +2 Might this turn. (Get the effect if you've played another card this turn.)</t>
        </is>
      </c>
    </row>
    <row r="18" ht="15" customHeight="1">
      <c r="A18" s="16" t="inlineStr">
        <is>
          <t>OGN-017</t>
        </is>
      </c>
      <c r="B18" s="16" t="inlineStr"/>
      <c r="C18" s="16" t="inlineStr">
        <is>
          <t>Iron Ballista</t>
        </is>
      </c>
      <c r="D18" s="16" t="inlineStr">
        <is>
          <t>Fury</t>
        </is>
      </c>
      <c r="E18" s="16" t="inlineStr">
        <is>
          <t>Gear</t>
        </is>
      </c>
      <c r="F18" s="16" t="inlineStr">
        <is>
          <t>3</t>
        </is>
      </c>
      <c r="G18" s="16" t="inlineStr">
        <is>
          <t>0</t>
        </is>
      </c>
      <c r="H18" s="16" t="inlineStr">
        <is>
          <t>Uncommon</t>
        </is>
      </c>
      <c r="I18" s="16" t="inlineStr"/>
      <c r="J18" s="17" t="inlineStr">
        <is>
          <t>This enters exhausted.
Exhaust: Deal 2 to a unit at a battlefield.</t>
        </is>
      </c>
    </row>
    <row r="19" ht="15" customHeight="1">
      <c r="A19" s="16" t="inlineStr">
        <is>
          <t>OGN-018</t>
        </is>
      </c>
      <c r="B19" s="16" t="inlineStr"/>
      <c r="C19" s="16" t="inlineStr">
        <is>
          <t>Noxus Saboteur</t>
        </is>
      </c>
      <c r="D19" s="16" t="inlineStr">
        <is>
          <t>Fury</t>
        </is>
      </c>
      <c r="E19" s="16" t="inlineStr">
        <is>
          <t>Unit</t>
        </is>
      </c>
      <c r="F19" s="16" t="inlineStr">
        <is>
          <t>3</t>
        </is>
      </c>
      <c r="G19" s="16" t="inlineStr">
        <is>
          <t>3</t>
        </is>
      </c>
      <c r="H19" s="16" t="inlineStr">
        <is>
          <t>Uncommon</t>
        </is>
      </c>
      <c r="I19" s="16" t="inlineStr">
        <is>
          <t>Noxus;Trifarian</t>
        </is>
      </c>
      <c r="J19" s="17" t="inlineStr">
        <is>
          <t>Your opponents' HIDDEN cards can't be revealed here.</t>
        </is>
      </c>
    </row>
    <row r="20" ht="15" customHeight="1">
      <c r="A20" s="57" t="inlineStr">
        <is>
          <t>OGN-019</t>
        </is>
      </c>
      <c r="B20" s="57" t="n">
        <v>3</v>
      </c>
      <c r="C20" s="57" t="inlineStr">
        <is>
          <t>Raging Soul</t>
        </is>
      </c>
      <c r="D20" s="57" t="inlineStr">
        <is>
          <t>Fury</t>
        </is>
      </c>
      <c r="E20" s="57" t="inlineStr">
        <is>
          <t>Unit</t>
        </is>
      </c>
      <c r="F20" s="57" t="inlineStr">
        <is>
          <t>4</t>
        </is>
      </c>
      <c r="G20" s="57" t="inlineStr">
        <is>
          <t>4</t>
        </is>
      </c>
      <c r="H20" s="57" t="inlineStr">
        <is>
          <t>Uncommon</t>
        </is>
      </c>
      <c r="I20" s="57" t="inlineStr">
        <is>
          <t>Shadow Isles;Spirit</t>
        </is>
      </c>
      <c r="J20" s="3" t="inlineStr">
        <is>
          <t>If you've discarded a card this turn, I have ASSAULT and GANKING. (+1 Might while I'm an attacker. I can move from battlefield to battlefield.)</t>
        </is>
      </c>
    </row>
    <row r="21" ht="15" customHeight="1">
      <c r="A21" s="16" t="inlineStr">
        <is>
          <t>OGN-020</t>
        </is>
      </c>
      <c r="B21" s="16" t="inlineStr"/>
      <c r="C21" s="16" t="inlineStr">
        <is>
          <t>Scrapyard Champion</t>
        </is>
      </c>
      <c r="D21" s="16" t="inlineStr">
        <is>
          <t>Fury</t>
        </is>
      </c>
      <c r="E21" s="16" t="inlineStr">
        <is>
          <t>Unit</t>
        </is>
      </c>
      <c r="F21" s="16" t="inlineStr">
        <is>
          <t>5</t>
        </is>
      </c>
      <c r="G21" s="16" t="inlineStr">
        <is>
          <t>5</t>
        </is>
      </c>
      <c r="H21" s="16" t="inlineStr">
        <is>
          <t>Uncommon</t>
        </is>
      </c>
      <c r="I21" s="16" t="inlineStr">
        <is>
          <t>Bandle City;Mech</t>
        </is>
      </c>
      <c r="J21" s="17" t="inlineStr">
        <is>
          <t>LEGION - When you play me, discard 2, then draw 2. (Get the effect if you've played another card this turn.)</t>
        </is>
      </c>
    </row>
    <row r="22" ht="15" customHeight="1">
      <c r="A22" s="16" t="inlineStr">
        <is>
          <t>OGN-021</t>
        </is>
      </c>
      <c r="B22" s="16" t="inlineStr"/>
      <c r="C22" s="16" t="inlineStr">
        <is>
          <t>Sun Disc</t>
        </is>
      </c>
      <c r="D22" s="16" t="inlineStr">
        <is>
          <t>Fury</t>
        </is>
      </c>
      <c r="E22" s="16" t="inlineStr">
        <is>
          <t>Gear</t>
        </is>
      </c>
      <c r="F22" s="16" t="inlineStr">
        <is>
          <t>2</t>
        </is>
      </c>
      <c r="G22" s="16" t="inlineStr">
        <is>
          <t>0</t>
        </is>
      </c>
      <c r="H22" s="16" t="inlineStr">
        <is>
          <t>Uncommon</t>
        </is>
      </c>
      <c r="I22" s="16" t="inlineStr"/>
      <c r="J22" s="17" t="inlineStr">
        <is>
          <t>Exhaust: LEGION - The next unit you play this turn enters ready. (Get the effect if you've played another card this turn.)</t>
        </is>
      </c>
    </row>
    <row r="23" ht="15" customHeight="1">
      <c r="A23" s="57" t="inlineStr">
        <is>
          <t>OGN-022</t>
        </is>
      </c>
      <c r="B23" s="57" t="n">
        <v>3</v>
      </c>
      <c r="C23" s="57" t="inlineStr">
        <is>
          <t>Thermo Beam</t>
        </is>
      </c>
      <c r="D23" s="57" t="inlineStr">
        <is>
          <t>Fury</t>
        </is>
      </c>
      <c r="E23" s="57" t="inlineStr">
        <is>
          <t>Spell</t>
        </is>
      </c>
      <c r="F23" s="57" t="inlineStr">
        <is>
          <t>5</t>
        </is>
      </c>
      <c r="G23" s="57" t="inlineStr">
        <is>
          <t>0</t>
        </is>
      </c>
      <c r="H23" s="57" t="inlineStr">
        <is>
          <t>Uncommon</t>
        </is>
      </c>
      <c r="I23" s="57" t="inlineStr"/>
      <c r="J23" s="3" t="inlineStr">
        <is>
          <t>ACTION (Play on your turn or in showdowns.)
Kill all gear.</t>
        </is>
      </c>
    </row>
    <row r="24" ht="15" customHeight="1">
      <c r="A24" s="16" t="inlineStr">
        <is>
          <t>OGN-023</t>
        </is>
      </c>
      <c r="B24" s="16" t="inlineStr"/>
      <c r="C24" s="16" t="inlineStr">
        <is>
          <t>Unlicensed Armory</t>
        </is>
      </c>
      <c r="D24" s="16" t="inlineStr">
        <is>
          <t>Fury</t>
        </is>
      </c>
      <c r="E24" s="16" t="inlineStr">
        <is>
          <t>Gear</t>
        </is>
      </c>
      <c r="F24" s="16" t="inlineStr">
        <is>
          <t>2</t>
        </is>
      </c>
      <c r="G24" s="16" t="inlineStr">
        <is>
          <t>0</t>
        </is>
      </c>
      <c r="H24" s="16" t="inlineStr">
        <is>
          <t>Uncommon</t>
        </is>
      </c>
      <c r="I24" s="16" t="inlineStr"/>
      <c r="J24" s="17" t="inlineStr">
        <is>
          <t>Discard 1, Exhaust: Choose a friendly unit. The next time it dies this turn, you may pay 1 Fury to recall it exhausted instead. (Send it to base. This isn't a move.)</t>
        </is>
      </c>
    </row>
    <row r="25" ht="15" customHeight="1">
      <c r="A25" s="57" t="inlineStr">
        <is>
          <t>OGN-024</t>
        </is>
      </c>
      <c r="B25" s="57" t="n">
        <v>3</v>
      </c>
      <c r="C25" s="57" t="inlineStr">
        <is>
          <t>Void Seeker</t>
        </is>
      </c>
      <c r="D25" s="57" t="inlineStr">
        <is>
          <t>Fury</t>
        </is>
      </c>
      <c r="E25" s="57" t="inlineStr">
        <is>
          <t>Spell</t>
        </is>
      </c>
      <c r="F25" s="57" t="inlineStr">
        <is>
          <t>3</t>
        </is>
      </c>
      <c r="G25" s="57" t="inlineStr">
        <is>
          <t>0</t>
        </is>
      </c>
      <c r="H25" s="57" t="inlineStr">
        <is>
          <t>Uncommon</t>
        </is>
      </c>
      <c r="I25" s="57" t="inlineStr"/>
      <c r="J25" s="3" t="inlineStr">
        <is>
          <t>ACTION (Play on your turn or in showdowns.)Deal 4 to a unit at a battlefield. Draw 1.</t>
        </is>
      </c>
    </row>
    <row r="26" ht="15" customHeight="1">
      <c r="A26" s="16" t="inlineStr">
        <is>
          <t>OGN-025</t>
        </is>
      </c>
      <c r="B26" s="16" t="inlineStr"/>
      <c r="C26" s="16" t="inlineStr">
        <is>
          <t>Blind Fury</t>
        </is>
      </c>
      <c r="D26" s="16" t="inlineStr">
        <is>
          <t>Fury</t>
        </is>
      </c>
      <c r="E26" s="16" t="inlineStr">
        <is>
          <t>Spell</t>
        </is>
      </c>
      <c r="F26" s="16" t="inlineStr">
        <is>
          <t>4</t>
        </is>
      </c>
      <c r="G26" s="16" t="inlineStr">
        <is>
          <t>0</t>
        </is>
      </c>
      <c r="H26" s="16" t="inlineStr">
        <is>
          <t>Rare</t>
        </is>
      </c>
      <c r="I26" s="16" t="inlineStr"/>
      <c r="J26" s="17" t="inlineStr">
        <is>
          <t>ACTION (Play on your turn or in showdowns.)
Each opponent reveals the top card of their Main Deck. Choose one and play it, ignoring its cost. Then recycle the rest.</t>
        </is>
      </c>
    </row>
    <row r="27" ht="15" customHeight="1">
      <c r="A27" s="57" t="inlineStr">
        <is>
          <t>OGN-026</t>
        </is>
      </c>
      <c r="B27" s="57" t="n">
        <v>1</v>
      </c>
      <c r="C27" s="57" t="inlineStr">
        <is>
          <t>Brynhir Thundersong</t>
        </is>
      </c>
      <c r="D27" s="57" t="inlineStr">
        <is>
          <t>Fury</t>
        </is>
      </c>
      <c r="E27" s="57" t="inlineStr">
        <is>
          <t>Unit</t>
        </is>
      </c>
      <c r="F27" s="57" t="inlineStr">
        <is>
          <t>6</t>
        </is>
      </c>
      <c r="G27" s="57" t="inlineStr">
        <is>
          <t>5</t>
        </is>
      </c>
      <c r="H27" s="57" t="inlineStr">
        <is>
          <t>Rare</t>
        </is>
      </c>
      <c r="I27" s="57" t="inlineStr">
        <is>
          <t>Freljord</t>
        </is>
      </c>
      <c r="J27" s="3" t="inlineStr">
        <is>
          <t>When you play me, opponents can't play cards this turn.</t>
        </is>
      </c>
    </row>
    <row r="28" ht="15" customHeight="1">
      <c r="A28" s="16" t="inlineStr">
        <is>
          <t>OGN-027</t>
        </is>
      </c>
      <c r="B28" s="16" t="inlineStr"/>
      <c r="C28" s="16" t="inlineStr">
        <is>
          <t>Darius - Trifarian</t>
        </is>
      </c>
      <c r="D28" s="16" t="inlineStr">
        <is>
          <t>Fury</t>
        </is>
      </c>
      <c r="E28" s="16" t="inlineStr">
        <is>
          <t>Champion Unit</t>
        </is>
      </c>
      <c r="F28" s="16" t="inlineStr">
        <is>
          <t>5</t>
        </is>
      </c>
      <c r="G28" s="16" t="inlineStr">
        <is>
          <t>5</t>
        </is>
      </c>
      <c r="H28" s="16" t="inlineStr">
        <is>
          <t>Rare</t>
        </is>
      </c>
      <c r="I28" s="16" t="inlineStr">
        <is>
          <t>Noxus;Darius;Trifarian</t>
        </is>
      </c>
      <c r="J28" s="17" t="inlineStr">
        <is>
          <t>When you play your second card in a turn, give me +2 Might this turn and ready me.</t>
        </is>
      </c>
    </row>
    <row r="29" ht="15" customHeight="1">
      <c r="A29" s="16" t="inlineStr">
        <is>
          <t>OGN-028</t>
        </is>
      </c>
      <c r="B29" s="16" t="inlineStr"/>
      <c r="C29" s="16" t="inlineStr">
        <is>
          <t>Draven - Showboat</t>
        </is>
      </c>
      <c r="D29" s="16" t="inlineStr">
        <is>
          <t>Fury</t>
        </is>
      </c>
      <c r="E29" s="16" t="inlineStr">
        <is>
          <t>Champion Unit</t>
        </is>
      </c>
      <c r="F29" s="16" t="inlineStr">
        <is>
          <t>5</t>
        </is>
      </c>
      <c r="G29" s="16" t="inlineStr">
        <is>
          <t>3</t>
        </is>
      </c>
      <c r="H29" s="16" t="inlineStr">
        <is>
          <t>Rare</t>
        </is>
      </c>
      <c r="I29" s="16" t="inlineStr">
        <is>
          <t>Noxus;Draven</t>
        </is>
      </c>
      <c r="J29" s="17" t="inlineStr">
        <is>
          <t>My Might is increased by your points.</t>
        </is>
      </c>
    </row>
    <row r="30" ht="15" customHeight="1">
      <c r="A30" s="16" t="inlineStr">
        <is>
          <t>OGN-029</t>
        </is>
      </c>
      <c r="B30" s="16" t="inlineStr"/>
      <c r="C30" s="16" t="inlineStr">
        <is>
          <t>Falling Star</t>
        </is>
      </c>
      <c r="D30" s="16" t="inlineStr">
        <is>
          <t>Fury</t>
        </is>
      </c>
      <c r="E30" s="16" t="inlineStr">
        <is>
          <t>Spell</t>
        </is>
      </c>
      <c r="F30" s="16" t="inlineStr">
        <is>
          <t>2</t>
        </is>
      </c>
      <c r="G30" s="16" t="inlineStr">
        <is>
          <t>0</t>
        </is>
      </c>
      <c r="H30" s="16" t="inlineStr">
        <is>
          <t>Rare</t>
        </is>
      </c>
      <c r="I30" s="16" t="inlineStr"/>
      <c r="J30" s="17" t="inlineStr">
        <is>
          <t>Do this twice:
Deal 3 to a unit. (You can choose different units.)</t>
        </is>
      </c>
    </row>
    <row r="31" ht="15" customHeight="1">
      <c r="A31" s="57" t="inlineStr">
        <is>
          <t>OGN-030</t>
        </is>
      </c>
      <c r="B31" s="57" t="n">
        <v>1</v>
      </c>
      <c r="C31" s="57" t="inlineStr">
        <is>
          <t>Jinx - Demolitionist</t>
        </is>
      </c>
      <c r="D31" s="57" t="inlineStr">
        <is>
          <t>Fury</t>
        </is>
      </c>
      <c r="E31" s="57" t="inlineStr">
        <is>
          <t>Champion Unit</t>
        </is>
      </c>
      <c r="F31" s="57" t="inlineStr">
        <is>
          <t>3</t>
        </is>
      </c>
      <c r="G31" s="57" t="inlineStr">
        <is>
          <t>4</t>
        </is>
      </c>
      <c r="H31" s="57" t="inlineStr">
        <is>
          <t>Rare</t>
        </is>
      </c>
      <c r="I31" s="57" t="inlineStr">
        <is>
          <t>Jinx;Zaun</t>
        </is>
      </c>
      <c r="J31" s="3" t="inlineStr">
        <is>
          <t>ACCELERATE (You may pay 1 Fury as an additional cost to have me enter ready.)ASSAULT 2 (+2 Might while I'm an attacker.)When you play me, discard 2.</t>
        </is>
      </c>
    </row>
    <row r="32" ht="15" customHeight="1">
      <c r="A32" s="57" t="inlineStr">
        <is>
          <t>OGN-031</t>
        </is>
      </c>
      <c r="B32" s="57" t="n">
        <v>3</v>
      </c>
      <c r="C32" s="57" t="inlineStr">
        <is>
          <t>Raging Firebrand</t>
        </is>
      </c>
      <c r="D32" s="57" t="inlineStr">
        <is>
          <t>Fury</t>
        </is>
      </c>
      <c r="E32" s="57" t="inlineStr">
        <is>
          <t>Unit</t>
        </is>
      </c>
      <c r="F32" s="57" t="inlineStr">
        <is>
          <t>6</t>
        </is>
      </c>
      <c r="G32" s="57" t="inlineStr">
        <is>
          <t>4</t>
        </is>
      </c>
      <c r="H32" s="57" t="inlineStr">
        <is>
          <t>Rare</t>
        </is>
      </c>
      <c r="I32" s="57" t="inlineStr">
        <is>
          <t>Dragon;Mount Targon</t>
        </is>
      </c>
      <c r="J32" s="3" t="inlineStr">
        <is>
          <t>When you play me, the next spell you play this turn costs 5 less.</t>
        </is>
      </c>
    </row>
    <row r="33" ht="15" customHeight="1">
      <c r="A33" s="16" t="inlineStr">
        <is>
          <t>OGN-032</t>
        </is>
      </c>
      <c r="B33" s="16" t="inlineStr"/>
      <c r="C33" s="16" t="inlineStr">
        <is>
          <t>Ravenborn Tome</t>
        </is>
      </c>
      <c r="D33" s="16" t="inlineStr">
        <is>
          <t>Fury</t>
        </is>
      </c>
      <c r="E33" s="16" t="inlineStr">
        <is>
          <t>Gear</t>
        </is>
      </c>
      <c r="F33" s="16" t="inlineStr">
        <is>
          <t>3</t>
        </is>
      </c>
      <c r="G33" s="16" t="inlineStr">
        <is>
          <t>0</t>
        </is>
      </c>
      <c r="H33" s="16" t="inlineStr">
        <is>
          <t>Rare</t>
        </is>
      </c>
      <c r="I33" s="16" t="inlineStr"/>
      <c r="J33" s="17" t="inlineStr">
        <is>
          <t>Exhaust: The next spell you play deals 1 Bonus Damage. (Each instance of damage the spell deals is increased by 1.)</t>
        </is>
      </c>
    </row>
    <row r="34" ht="15" customHeight="1">
      <c r="A34" s="57" t="inlineStr">
        <is>
          <t>OGN-033</t>
        </is>
      </c>
      <c r="B34" s="57" t="n">
        <v>3</v>
      </c>
      <c r="C34" s="57" t="inlineStr">
        <is>
          <t>Shakedown</t>
        </is>
      </c>
      <c r="D34" s="57" t="inlineStr">
        <is>
          <t>Fury</t>
        </is>
      </c>
      <c r="E34" s="57" t="inlineStr">
        <is>
          <t>Spell</t>
        </is>
      </c>
      <c r="F34" s="57" t="inlineStr">
        <is>
          <t>2</t>
        </is>
      </c>
      <c r="G34" s="57" t="inlineStr">
        <is>
          <t>0</t>
        </is>
      </c>
      <c r="H34" s="57" t="inlineStr">
        <is>
          <t>Rare</t>
        </is>
      </c>
      <c r="I34" s="57" t="inlineStr"/>
      <c r="J34" s="3" t="inlineStr">
        <is>
          <t>REACTION (Play any time, even before spells and abilities resolve.)
Choose an enemy unit. Deal 6 to it unless its controller has you draw 2.</t>
        </is>
      </c>
    </row>
    <row r="35" ht="15" customHeight="1">
      <c r="A35" s="57" t="inlineStr">
        <is>
          <t>OGN-034</t>
        </is>
      </c>
      <c r="B35" s="57" t="n">
        <v>3</v>
      </c>
      <c r="C35" s="57" t="inlineStr">
        <is>
          <t>Tryndamere - Barbarian</t>
        </is>
      </c>
      <c r="D35" s="57" t="inlineStr">
        <is>
          <t>Fury</t>
        </is>
      </c>
      <c r="E35" s="57" t="inlineStr">
        <is>
          <t>Champion Unit</t>
        </is>
      </c>
      <c r="F35" s="57" t="inlineStr">
        <is>
          <t>7</t>
        </is>
      </c>
      <c r="G35" s="57" t="inlineStr">
        <is>
          <t>8</t>
        </is>
      </c>
      <c r="H35" s="57" t="inlineStr">
        <is>
          <t>Rare</t>
        </is>
      </c>
      <c r="I35" s="57" t="inlineStr">
        <is>
          <t>Freljord;Tryndamere</t>
        </is>
      </c>
      <c r="J35" s="3" t="inlineStr">
        <is>
          <t>When I conquer after an attack, if you assigned 5 or more excess damage to enemy units, you score 1 point.</t>
        </is>
      </c>
    </row>
    <row r="36" ht="15" customHeight="1">
      <c r="A36" s="16" t="inlineStr">
        <is>
          <t>OGN-035</t>
        </is>
      </c>
      <c r="B36" s="16" t="inlineStr"/>
      <c r="C36" s="16" t="inlineStr">
        <is>
          <t>Vayne - Hunter</t>
        </is>
      </c>
      <c r="D36" s="16" t="inlineStr">
        <is>
          <t>Fury</t>
        </is>
      </c>
      <c r="E36" s="16" t="inlineStr">
        <is>
          <t>Champion Unit</t>
        </is>
      </c>
      <c r="F36" s="16" t="inlineStr">
        <is>
          <t>4</t>
        </is>
      </c>
      <c r="G36" s="16" t="inlineStr">
        <is>
          <t>2</t>
        </is>
      </c>
      <c r="H36" s="16" t="inlineStr">
        <is>
          <t>Rare</t>
        </is>
      </c>
      <c r="I36" s="16" t="inlineStr">
        <is>
          <t>Demacia;Vayne</t>
        </is>
      </c>
      <c r="J36" s="17" t="inlineStr">
        <is>
          <t>ASSAULT 3 (+3 Might while I'm an attacker.)If an opponent controls a battlefield, I enter ready.When I conquer, you may pay 1 to return me to my owner's hand.</t>
        </is>
      </c>
    </row>
    <row r="37" ht="15" customHeight="1">
      <c r="A37" s="57" t="inlineStr">
        <is>
          <t>OGN-036</t>
        </is>
      </c>
      <c r="B37" s="57" t="n">
        <v>2</v>
      </c>
      <c r="C37" s="57" t="inlineStr">
        <is>
          <t>Vi - Destructive</t>
        </is>
      </c>
      <c r="D37" s="57" t="inlineStr">
        <is>
          <t>Fury</t>
        </is>
      </c>
      <c r="E37" s="57" t="inlineStr">
        <is>
          <t>Champion Unit</t>
        </is>
      </c>
      <c r="F37" s="57" t="inlineStr">
        <is>
          <t>2</t>
        </is>
      </c>
      <c r="G37" s="57" t="inlineStr">
        <is>
          <t>3</t>
        </is>
      </c>
      <c r="H37" s="57" t="inlineStr">
        <is>
          <t>Rare</t>
        </is>
      </c>
      <c r="I37" s="57" t="inlineStr">
        <is>
          <t>Piltover;Vi</t>
        </is>
      </c>
      <c r="J37" s="3" t="inlineStr">
        <is>
          <t>GANKING (I can move from battlefield to battlefield.)Recycle 1 from your trash: Give me +1 Might this turn.</t>
        </is>
      </c>
    </row>
    <row r="38" ht="15" customHeight="1">
      <c r="A38" s="16" t="inlineStr">
        <is>
          <t>OGN-037</t>
        </is>
      </c>
      <c r="B38" s="16" t="inlineStr"/>
      <c r="C38" s="16" t="inlineStr">
        <is>
          <t>Immortal Phoenix</t>
        </is>
      </c>
      <c r="D38" s="16" t="inlineStr">
        <is>
          <t>Fury</t>
        </is>
      </c>
      <c r="E38" s="16" t="inlineStr">
        <is>
          <t>Unit</t>
        </is>
      </c>
      <c r="F38" s="16" t="inlineStr">
        <is>
          <t>3</t>
        </is>
      </c>
      <c r="G38" s="16" t="inlineStr">
        <is>
          <t>3</t>
        </is>
      </c>
      <c r="H38" s="16" t="inlineStr">
        <is>
          <t>Epic</t>
        </is>
      </c>
      <c r="I38" s="16" t="inlineStr">
        <is>
          <t>Spirit</t>
        </is>
      </c>
      <c r="J38" s="17" t="inlineStr">
        <is>
          <t>ASSAULT 2 (+2 Might while I'm an attacker.)When you kill a unit with a spell, you may pay 1 Fury to play me from your trash.</t>
        </is>
      </c>
    </row>
    <row r="39" ht="15" customHeight="1">
      <c r="A39" s="57" t="inlineStr">
        <is>
          <t>OGN-038</t>
        </is>
      </c>
      <c r="B39" s="57" t="n">
        <v>3</v>
      </c>
      <c r="C39" s="57" t="inlineStr">
        <is>
          <t>Kadregrin the Infernal</t>
        </is>
      </c>
      <c r="D39" s="57" t="inlineStr">
        <is>
          <t>Fury</t>
        </is>
      </c>
      <c r="E39" s="57" t="inlineStr">
        <is>
          <t>Unit</t>
        </is>
      </c>
      <c r="F39" s="57" t="inlineStr">
        <is>
          <t>9</t>
        </is>
      </c>
      <c r="G39" s="57" t="inlineStr">
        <is>
          <t>9</t>
        </is>
      </c>
      <c r="H39" s="57" t="inlineStr">
        <is>
          <t>Epic</t>
        </is>
      </c>
      <c r="I39" s="57" t="inlineStr">
        <is>
          <t>Demacia;Dragon</t>
        </is>
      </c>
      <c r="J39" s="3" t="inlineStr">
        <is>
          <t>When you play me, draw 1 for each of your MIGHTY units. (A unit is Mighty while it has 5+ Might.)</t>
        </is>
      </c>
    </row>
    <row r="40" ht="15" customHeight="1">
      <c r="A40" s="16" t="inlineStr">
        <is>
          <t>OGN-039</t>
        </is>
      </c>
      <c r="B40" s="16" t="inlineStr"/>
      <c r="C40" s="16" t="inlineStr">
        <is>
          <t>Kai'Sa - Survivor</t>
        </is>
      </c>
      <c r="D40" s="16" t="inlineStr">
        <is>
          <t>Fury</t>
        </is>
      </c>
      <c r="E40" s="16" t="inlineStr">
        <is>
          <t>Champion Unit</t>
        </is>
      </c>
      <c r="F40" s="16" t="inlineStr">
        <is>
          <t>4</t>
        </is>
      </c>
      <c r="G40" s="16" t="inlineStr">
        <is>
          <t>4</t>
        </is>
      </c>
      <c r="H40" s="16" t="inlineStr">
        <is>
          <t>Epic</t>
        </is>
      </c>
      <c r="I40" s="16" t="inlineStr">
        <is>
          <t>Kai'Sa;The Void</t>
        </is>
      </c>
      <c r="J40" s="17" t="inlineStr">
        <is>
          <t>ACCELERATE (You may pay 1 Fury as an additional cost to have me enter ready.)When I conquer, draw 1.</t>
        </is>
      </c>
    </row>
    <row r="41" ht="15" customHeight="1">
      <c r="A41" s="16" t="inlineStr">
        <is>
          <t>OGN-040</t>
        </is>
      </c>
      <c r="B41" s="16" t="inlineStr"/>
      <c r="C41" s="16" t="inlineStr">
        <is>
          <t>Seal of Rage</t>
        </is>
      </c>
      <c r="D41" s="16" t="inlineStr">
        <is>
          <t>Fury</t>
        </is>
      </c>
      <c r="E41" s="16" t="inlineStr">
        <is>
          <t>Gear</t>
        </is>
      </c>
      <c r="F41" s="16" t="inlineStr">
        <is>
          <t>0</t>
        </is>
      </c>
      <c r="G41" s="16" t="inlineStr">
        <is>
          <t>0</t>
        </is>
      </c>
      <c r="H41" s="16" t="inlineStr">
        <is>
          <t>Epic</t>
        </is>
      </c>
      <c r="I41" s="16" t="inlineStr"/>
      <c r="J41" s="17" t="inlineStr">
        <is>
          <t>Exhaust: REACTION - ADD 1 Fury. (Abilities that add resources can't be reacted to.)</t>
        </is>
      </c>
    </row>
    <row r="42" ht="15" customHeight="1">
      <c r="A42" s="57" t="inlineStr">
        <is>
          <t>OGN-041</t>
        </is>
      </c>
      <c r="B42" s="57" t="n">
        <v>2</v>
      </c>
      <c r="C42" s="57" t="inlineStr">
        <is>
          <t>Volibear - Furious</t>
        </is>
      </c>
      <c r="D42" s="57" t="inlineStr">
        <is>
          <t>Fury</t>
        </is>
      </c>
      <c r="E42" s="57" t="inlineStr">
        <is>
          <t>Champion Unit</t>
        </is>
      </c>
      <c r="F42" s="57" t="inlineStr">
        <is>
          <t>10</t>
        </is>
      </c>
      <c r="G42" s="57" t="inlineStr">
        <is>
          <t>9</t>
        </is>
      </c>
      <c r="H42" s="57" t="inlineStr">
        <is>
          <t>Epic</t>
        </is>
      </c>
      <c r="I42" s="57" t="inlineStr">
        <is>
          <t>Freljord;Volibear</t>
        </is>
      </c>
      <c r="J42" s="3" t="inlineStr">
        <is>
          <t>DEFLECT 2 (Opponents must play 2 Power to choose me with a spell or ability.)When I attack, deal 5 damage split among any number of enemy units here.</t>
        </is>
      </c>
    </row>
    <row r="43" ht="15" customHeight="1">
      <c r="A43" s="18" t="inlineStr">
        <is>
          <t>OGN-042</t>
        </is>
      </c>
      <c r="B43" s="18" t="inlineStr"/>
      <c r="C43" s="18" t="inlineStr">
        <is>
          <t>Calm Rune</t>
        </is>
      </c>
      <c r="D43" s="18" t="inlineStr">
        <is>
          <t>Calm</t>
        </is>
      </c>
      <c r="E43" s="18" t="inlineStr">
        <is>
          <t>Rune</t>
        </is>
      </c>
      <c r="F43" s="18" t="inlineStr">
        <is>
          <t>0</t>
        </is>
      </c>
      <c r="G43" s="18" t="inlineStr">
        <is>
          <t>0</t>
        </is>
      </c>
      <c r="H43" s="18" t="inlineStr">
        <is>
          <t>Common</t>
        </is>
      </c>
      <c r="I43" s="18" t="inlineStr"/>
      <c r="J43" s="19" t="inlineStr"/>
    </row>
    <row r="44" ht="15" customHeight="1">
      <c r="A44" s="49" t="inlineStr">
        <is>
          <t>OGN-043</t>
        </is>
      </c>
      <c r="B44" s="49" t="n">
        <v>2</v>
      </c>
      <c r="C44" s="49" t="inlineStr">
        <is>
          <t>Charm</t>
        </is>
      </c>
      <c r="D44" s="49" t="inlineStr">
        <is>
          <t>Calm</t>
        </is>
      </c>
      <c r="E44" s="49" t="inlineStr">
        <is>
          <t>Spell</t>
        </is>
      </c>
      <c r="F44" s="49" t="inlineStr">
        <is>
          <t>1</t>
        </is>
      </c>
      <c r="G44" s="49" t="inlineStr">
        <is>
          <t>0</t>
        </is>
      </c>
      <c r="H44" s="49" t="inlineStr">
        <is>
          <t>Common</t>
        </is>
      </c>
      <c r="I44" s="49" t="inlineStr"/>
      <c r="J44" s="5" t="inlineStr">
        <is>
          <t>Move an enemy unit.</t>
        </is>
      </c>
    </row>
    <row r="45" ht="15" customHeight="1">
      <c r="A45" s="18" t="inlineStr">
        <is>
          <t>OGN-044</t>
        </is>
      </c>
      <c r="B45" s="18" t="inlineStr"/>
      <c r="C45" s="18" t="inlineStr">
        <is>
          <t>Clockwork Keeper</t>
        </is>
      </c>
      <c r="D45" s="18" t="inlineStr">
        <is>
          <t>Calm</t>
        </is>
      </c>
      <c r="E45" s="18" t="inlineStr">
        <is>
          <t>Unit</t>
        </is>
      </c>
      <c r="F45" s="18" t="inlineStr">
        <is>
          <t>2</t>
        </is>
      </c>
      <c r="G45" s="18" t="inlineStr">
        <is>
          <t>2</t>
        </is>
      </c>
      <c r="H45" s="18" t="inlineStr">
        <is>
          <t>Common</t>
        </is>
      </c>
      <c r="I45" s="18" t="inlineStr">
        <is>
          <t>Shurima</t>
        </is>
      </c>
      <c r="J45" s="19" t="inlineStr">
        <is>
          <t>As you play me, you may pay 1 Calm as an additional cost. If you do, draw 1.</t>
        </is>
      </c>
    </row>
    <row r="46" ht="15" customHeight="1">
      <c r="A46" s="18" t="inlineStr">
        <is>
          <t>OGN-045</t>
        </is>
      </c>
      <c r="B46" s="18" t="inlineStr"/>
      <c r="C46" s="18" t="inlineStr">
        <is>
          <t>Defy</t>
        </is>
      </c>
      <c r="D46" s="18" t="inlineStr">
        <is>
          <t>Calm</t>
        </is>
      </c>
      <c r="E46" s="18" t="inlineStr">
        <is>
          <t>Spell</t>
        </is>
      </c>
      <c r="F46" s="18" t="inlineStr">
        <is>
          <t>1</t>
        </is>
      </c>
      <c r="G46" s="18" t="inlineStr">
        <is>
          <t>0</t>
        </is>
      </c>
      <c r="H46" s="18" t="inlineStr">
        <is>
          <t>Common</t>
        </is>
      </c>
      <c r="I46" s="18" t="inlineStr"/>
      <c r="J46" s="19" t="inlineStr">
        <is>
          <t>REACTION (Play any time, even before spells and abilities resolve.)Counter a spell that costs no more than 4 and no more than 1 Power.</t>
        </is>
      </c>
    </row>
    <row r="47" ht="15" customHeight="1">
      <c r="A47" s="18" t="inlineStr">
        <is>
          <t>OGN-046</t>
        </is>
      </c>
      <c r="B47" s="18" t="inlineStr"/>
      <c r="C47" s="18" t="inlineStr">
        <is>
          <t>En Garde</t>
        </is>
      </c>
      <c r="D47" s="18" t="inlineStr">
        <is>
          <t>Calm</t>
        </is>
      </c>
      <c r="E47" s="18" t="inlineStr">
        <is>
          <t>Spell</t>
        </is>
      </c>
      <c r="F47" s="18" t="inlineStr">
        <is>
          <t>1</t>
        </is>
      </c>
      <c r="G47" s="18" t="inlineStr">
        <is>
          <t>0</t>
        </is>
      </c>
      <c r="H47" s="18" t="inlineStr">
        <is>
          <t>Common</t>
        </is>
      </c>
      <c r="I47" s="18" t="inlineStr"/>
      <c r="J47" s="19" t="inlineStr">
        <is>
          <t>REACTION (Play any time, even before spells and abilities resolve.)
Give a friendly unit +1 Might this turn, then an additional +1 Might this turn if it is the only unit you control there.</t>
        </is>
      </c>
    </row>
    <row r="48" ht="15" customHeight="1">
      <c r="A48" s="49" t="inlineStr">
        <is>
          <t>OGN-047</t>
        </is>
      </c>
      <c r="B48" s="49" t="n">
        <v>2</v>
      </c>
      <c r="C48" s="49" t="inlineStr">
        <is>
          <t>Find Your Center</t>
        </is>
      </c>
      <c r="D48" s="49" t="inlineStr">
        <is>
          <t>Calm</t>
        </is>
      </c>
      <c r="E48" s="49" t="inlineStr">
        <is>
          <t>Spell</t>
        </is>
      </c>
      <c r="F48" s="49" t="inlineStr">
        <is>
          <t>3</t>
        </is>
      </c>
      <c r="G48" s="49" t="inlineStr">
        <is>
          <t>0</t>
        </is>
      </c>
      <c r="H48" s="49" t="inlineStr">
        <is>
          <t>Common</t>
        </is>
      </c>
      <c r="I48" s="49" t="inlineStr"/>
      <c r="J48" s="5" t="inlineStr">
        <is>
          <t>ACTION (Play on your turn or in showdowns.)
If an opponent's score is within 3 points of the Victory Score, this costs 2 less.
Draw 1 and channel 1 rune exhausted.</t>
        </is>
      </c>
    </row>
    <row r="49" ht="15" customHeight="1">
      <c r="A49" s="18" t="inlineStr">
        <is>
          <t>OGN-048</t>
        </is>
      </c>
      <c r="B49" s="18" t="inlineStr"/>
      <c r="C49" s="18" t="inlineStr">
        <is>
          <t>Meditation</t>
        </is>
      </c>
      <c r="D49" s="18" t="inlineStr">
        <is>
          <t>Calm</t>
        </is>
      </c>
      <c r="E49" s="18" t="inlineStr">
        <is>
          <t>Spell</t>
        </is>
      </c>
      <c r="F49" s="18" t="inlineStr">
        <is>
          <t>2</t>
        </is>
      </c>
      <c r="G49" s="18" t="inlineStr">
        <is>
          <t>0</t>
        </is>
      </c>
      <c r="H49" s="18" t="inlineStr">
        <is>
          <t>Common</t>
        </is>
      </c>
      <c r="I49" s="18" t="inlineStr"/>
      <c r="J49" s="19" t="inlineStr">
        <is>
          <t>REACTION (Play any time, even before spells and abilities resolve.)
As an additional cost to play this, you may exhaust a friendly unit. If you do, draw 2. Otherwise, draw 1.</t>
        </is>
      </c>
    </row>
    <row r="50" ht="15" customHeight="1">
      <c r="A50" s="18" t="inlineStr">
        <is>
          <t>OGN-049</t>
        </is>
      </c>
      <c r="B50" s="18" t="inlineStr"/>
      <c r="C50" s="18" t="inlineStr">
        <is>
          <t>Playful Phantom</t>
        </is>
      </c>
      <c r="D50" s="18" t="inlineStr">
        <is>
          <t>Calm</t>
        </is>
      </c>
      <c r="E50" s="18" t="inlineStr">
        <is>
          <t>Unit</t>
        </is>
      </c>
      <c r="F50" s="18" t="inlineStr">
        <is>
          <t>5</t>
        </is>
      </c>
      <c r="G50" s="18" t="inlineStr">
        <is>
          <t>5</t>
        </is>
      </c>
      <c r="H50" s="18" t="inlineStr">
        <is>
          <t>Common</t>
        </is>
      </c>
      <c r="I50" s="18" t="inlineStr">
        <is>
          <t>Shadow Isles;Spirit</t>
        </is>
      </c>
      <c r="J50" s="19" t="inlineStr"/>
    </row>
    <row r="51" ht="15" customHeight="1">
      <c r="A51" s="18" t="inlineStr">
        <is>
          <t>OGN-050</t>
        </is>
      </c>
      <c r="B51" s="18" t="inlineStr"/>
      <c r="C51" s="18" t="inlineStr">
        <is>
          <t>Rune Prison</t>
        </is>
      </c>
      <c r="D51" s="18" t="inlineStr">
        <is>
          <t>Calm</t>
        </is>
      </c>
      <c r="E51" s="18" t="inlineStr">
        <is>
          <t>Spell</t>
        </is>
      </c>
      <c r="F51" s="18" t="inlineStr">
        <is>
          <t>2</t>
        </is>
      </c>
      <c r="G51" s="18" t="inlineStr">
        <is>
          <t>0</t>
        </is>
      </c>
      <c r="H51" s="18" t="inlineStr">
        <is>
          <t>Common</t>
        </is>
      </c>
      <c r="I51" s="18" t="inlineStr"/>
      <c r="J51" s="19" t="inlineStr">
        <is>
          <t>ACTION (Play on your turn or in showdowns.)
Stun a unit. (It doesn't deal combat damage this turn.)</t>
        </is>
      </c>
    </row>
    <row r="52" ht="15" customHeight="1">
      <c r="A52" s="18" t="inlineStr">
        <is>
          <t>OGN-051</t>
        </is>
      </c>
      <c r="B52" s="18" t="inlineStr"/>
      <c r="C52" s="18" t="inlineStr">
        <is>
          <t>Solari Shieldbearer</t>
        </is>
      </c>
      <c r="D52" s="18" t="inlineStr">
        <is>
          <t>Calm</t>
        </is>
      </c>
      <c r="E52" s="18" t="inlineStr">
        <is>
          <t>Unit</t>
        </is>
      </c>
      <c r="F52" s="18" t="inlineStr">
        <is>
          <t>3</t>
        </is>
      </c>
      <c r="G52" s="18" t="inlineStr">
        <is>
          <t>2</t>
        </is>
      </c>
      <c r="H52" s="18" t="inlineStr">
        <is>
          <t>Common</t>
        </is>
      </c>
      <c r="I52" s="18" t="inlineStr">
        <is>
          <t>Mount Targon</t>
        </is>
      </c>
      <c r="J52" s="19" t="inlineStr">
        <is>
          <t>When you play me, stun a unit. (It doesn't deal combat damage this turn.)</t>
        </is>
      </c>
    </row>
    <row r="53" ht="15" customHeight="1">
      <c r="A53" s="49" t="inlineStr">
        <is>
          <t>OGN-052</t>
        </is>
      </c>
      <c r="B53" s="49" t="n">
        <v>3</v>
      </c>
      <c r="C53" s="49" t="inlineStr">
        <is>
          <t>Stalwart Poro</t>
        </is>
      </c>
      <c r="D53" s="49" t="inlineStr">
        <is>
          <t>Calm</t>
        </is>
      </c>
      <c r="E53" s="49" t="inlineStr">
        <is>
          <t>Unit</t>
        </is>
      </c>
      <c r="F53" s="49" t="inlineStr">
        <is>
          <t>2</t>
        </is>
      </c>
      <c r="G53" s="49" t="inlineStr">
        <is>
          <t>2</t>
        </is>
      </c>
      <c r="H53" s="49" t="inlineStr">
        <is>
          <t>Common</t>
        </is>
      </c>
      <c r="I53" s="49" t="inlineStr">
        <is>
          <t>Poro</t>
        </is>
      </c>
      <c r="J53" s="5" t="inlineStr">
        <is>
          <t>SHIELD (+1 Might while I'm a defender.)</t>
        </is>
      </c>
    </row>
    <row r="54" ht="15" customHeight="1">
      <c r="A54" s="49" t="inlineStr">
        <is>
          <t>OGN-053</t>
        </is>
      </c>
      <c r="B54" s="49" t="n">
        <v>3</v>
      </c>
      <c r="C54" s="49" t="inlineStr">
        <is>
          <t>Stand United</t>
        </is>
      </c>
      <c r="D54" s="49" t="inlineStr">
        <is>
          <t>Calm</t>
        </is>
      </c>
      <c r="E54" s="49" t="inlineStr">
        <is>
          <t>Spell</t>
        </is>
      </c>
      <c r="F54" s="49" t="inlineStr">
        <is>
          <t>3</t>
        </is>
      </c>
      <c r="G54" s="49" t="inlineStr">
        <is>
          <t>0</t>
        </is>
      </c>
      <c r="H54" s="49" t="inlineStr">
        <is>
          <t>Common</t>
        </is>
      </c>
      <c r="I54" s="49" t="inlineStr"/>
      <c r="J54" s="5" t="inlineStr">
        <is>
          <t>HIDDEN (Hide now for 1 Rune to react with later for 0.)
ACTION (Play on your turn or in showdowns.)
Buff a friendly unit. Buffs give an additional +1 Might to friendly units this turn. (To buff a unit, give it a +1 Might buff if it doesn't already have one.)</t>
        </is>
      </c>
    </row>
    <row r="55" ht="15" customHeight="1">
      <c r="A55" s="49" t="inlineStr">
        <is>
          <t>OGN-054</t>
        </is>
      </c>
      <c r="B55" s="49" t="n">
        <v>1</v>
      </c>
      <c r="C55" s="49" t="inlineStr">
        <is>
          <t>Sunlit Guardian</t>
        </is>
      </c>
      <c r="D55" s="49" t="inlineStr">
        <is>
          <t>Calm</t>
        </is>
      </c>
      <c r="E55" s="49" t="inlineStr">
        <is>
          <t>Unit</t>
        </is>
      </c>
      <c r="F55" s="49" t="inlineStr">
        <is>
          <t>3</t>
        </is>
      </c>
      <c r="G55" s="49" t="inlineStr">
        <is>
          <t>3</t>
        </is>
      </c>
      <c r="H55" s="49" t="inlineStr">
        <is>
          <t>Common</t>
        </is>
      </c>
      <c r="I55" s="49" t="inlineStr">
        <is>
          <t>Shurima</t>
        </is>
      </c>
      <c r="J55" s="5" t="inlineStr">
        <is>
          <t>SHIELD (+1 Might while I'm a defender.)
TANK (I must be assigned combat damage first.)</t>
        </is>
      </c>
    </row>
    <row r="56" ht="15" customHeight="1">
      <c r="A56" s="49" t="inlineStr">
        <is>
          <t>OGN-055</t>
        </is>
      </c>
      <c r="B56" s="49" t="n">
        <v>3</v>
      </c>
      <c r="C56" s="49" t="inlineStr">
        <is>
          <t>Wielder of Water</t>
        </is>
      </c>
      <c r="D56" s="49" t="inlineStr">
        <is>
          <t>Calm</t>
        </is>
      </c>
      <c r="E56" s="49" t="inlineStr">
        <is>
          <t>Unit</t>
        </is>
      </c>
      <c r="F56" s="49" t="inlineStr">
        <is>
          <t>3</t>
        </is>
      </c>
      <c r="G56" s="49" t="inlineStr">
        <is>
          <t>2</t>
        </is>
      </c>
      <c r="H56" s="49" t="inlineStr">
        <is>
          <t>Common</t>
        </is>
      </c>
      <c r="I56" s="49" t="inlineStr">
        <is>
          <t>Ionia</t>
        </is>
      </c>
      <c r="J56" s="5" t="inlineStr">
        <is>
          <t>While I'm attacking or defending alone, I have +2 Might.</t>
        </is>
      </c>
    </row>
    <row r="57" ht="15" customHeight="1">
      <c r="A57" s="18" t="inlineStr">
        <is>
          <t>OGN-056</t>
        </is>
      </c>
      <c r="B57" s="18" t="inlineStr"/>
      <c r="C57" s="18" t="inlineStr">
        <is>
          <t>Adaptatron</t>
        </is>
      </c>
      <c r="D57" s="18" t="inlineStr">
        <is>
          <t>Calm</t>
        </is>
      </c>
      <c r="E57" s="18" t="inlineStr">
        <is>
          <t>Unit</t>
        </is>
      </c>
      <c r="F57" s="18" t="inlineStr">
        <is>
          <t>4</t>
        </is>
      </c>
      <c r="G57" s="18" t="inlineStr">
        <is>
          <t>3</t>
        </is>
      </c>
      <c r="H57" s="18" t="inlineStr">
        <is>
          <t>Uncommon</t>
        </is>
      </c>
      <c r="I57" s="18" t="inlineStr">
        <is>
          <t>Mech;Piltover</t>
        </is>
      </c>
      <c r="J57" s="19" t="inlineStr">
        <is>
          <t>When I conquer, you may kill a gear. If you do, buff me. (If I don't have a buff, I get a +1 Might buff.)</t>
        </is>
      </c>
    </row>
    <row r="58" ht="15" customHeight="1">
      <c r="A58" s="18" t="inlineStr">
        <is>
          <t>OGN-057</t>
        </is>
      </c>
      <c r="B58" s="18" t="inlineStr"/>
      <c r="C58" s="18" t="inlineStr">
        <is>
          <t>Block</t>
        </is>
      </c>
      <c r="D58" s="18" t="inlineStr">
        <is>
          <t>Calm</t>
        </is>
      </c>
      <c r="E58" s="18" t="inlineStr">
        <is>
          <t>Spell</t>
        </is>
      </c>
      <c r="F58" s="18" t="inlineStr">
        <is>
          <t>2</t>
        </is>
      </c>
      <c r="G58" s="18" t="inlineStr">
        <is>
          <t>0</t>
        </is>
      </c>
      <c r="H58" s="18" t="inlineStr">
        <is>
          <t>Uncommon</t>
        </is>
      </c>
      <c r="I58" s="18" t="inlineStr"/>
      <c r="J58" s="19" t="inlineStr">
        <is>
          <t>HIDDEN (Hide now for 1 Rune to react with later for 0.)
ACTION (Play on your turn or in showdowns.)
Give a unit SHIELD 3 and TANK this turn. (+3 Might while it's a defender. It must be assigned combat damage first.)</t>
        </is>
      </c>
    </row>
    <row r="59" ht="15" customHeight="1">
      <c r="A59" s="49" t="inlineStr">
        <is>
          <t>OGN-058</t>
        </is>
      </c>
      <c r="B59" s="49" t="n">
        <v>3</v>
      </c>
      <c r="C59" s="49" t="inlineStr">
        <is>
          <t>Discipline</t>
        </is>
      </c>
      <c r="D59" s="49" t="inlineStr">
        <is>
          <t>Calm</t>
        </is>
      </c>
      <c r="E59" s="49" t="inlineStr">
        <is>
          <t>Spell</t>
        </is>
      </c>
      <c r="F59" s="49" t="inlineStr">
        <is>
          <t>2</t>
        </is>
      </c>
      <c r="G59" s="49" t="inlineStr">
        <is>
          <t>0</t>
        </is>
      </c>
      <c r="H59" s="49" t="inlineStr">
        <is>
          <t>Uncommon</t>
        </is>
      </c>
      <c r="I59" s="49" t="inlineStr"/>
      <c r="J59" s="5" t="inlineStr">
        <is>
          <t>REACTION (Play any time, even before spells and abilities resolve.)Give a unit +2 Might this turn. Draw 1.</t>
        </is>
      </c>
    </row>
    <row r="60" ht="15" customHeight="1">
      <c r="A60" s="18" t="inlineStr">
        <is>
          <t>OGN-059</t>
        </is>
      </c>
      <c r="B60" s="18" t="inlineStr"/>
      <c r="C60" s="18" t="inlineStr">
        <is>
          <t>Eclipse Herald</t>
        </is>
      </c>
      <c r="D60" s="18" t="inlineStr">
        <is>
          <t>Calm</t>
        </is>
      </c>
      <c r="E60" s="18" t="inlineStr">
        <is>
          <t>Unit</t>
        </is>
      </c>
      <c r="F60" s="18" t="inlineStr">
        <is>
          <t>7</t>
        </is>
      </c>
      <c r="G60" s="18" t="inlineStr">
        <is>
          <t>7</t>
        </is>
      </c>
      <c r="H60" s="18" t="inlineStr">
        <is>
          <t>Uncommon</t>
        </is>
      </c>
      <c r="I60" s="18" t="inlineStr">
        <is>
          <t>Bird;Mount Targon</t>
        </is>
      </c>
      <c r="J60" s="19" t="inlineStr">
        <is>
          <t>When you stun an enemy unit, ready me and give me +1 Might this turn.</t>
        </is>
      </c>
    </row>
    <row r="61" ht="15" customHeight="1">
      <c r="A61" s="49" t="inlineStr">
        <is>
          <t>OGN-060</t>
        </is>
      </c>
      <c r="B61" s="49" t="n">
        <v>1</v>
      </c>
      <c r="C61" s="49" t="inlineStr">
        <is>
          <t>Mask of Foresight</t>
        </is>
      </c>
      <c r="D61" s="49" t="inlineStr">
        <is>
          <t>Calm</t>
        </is>
      </c>
      <c r="E61" s="49" t="inlineStr">
        <is>
          <t>Gear</t>
        </is>
      </c>
      <c r="F61" s="49" t="inlineStr">
        <is>
          <t>2</t>
        </is>
      </c>
      <c r="G61" s="49" t="inlineStr">
        <is>
          <t>0</t>
        </is>
      </c>
      <c r="H61" s="49" t="inlineStr">
        <is>
          <t>Uncommon</t>
        </is>
      </c>
      <c r="I61" s="49" t="inlineStr"/>
      <c r="J61" s="5" t="inlineStr">
        <is>
          <t>When a friendly unit attacks or defends alone, give it +1 Might this turn.</t>
        </is>
      </c>
    </row>
    <row r="62" ht="15" customHeight="1">
      <c r="A62" s="18" t="inlineStr">
        <is>
          <t>OGN-061</t>
        </is>
      </c>
      <c r="B62" s="18" t="inlineStr"/>
      <c r="C62" s="18" t="inlineStr">
        <is>
          <t>Poro Herder</t>
        </is>
      </c>
      <c r="D62" s="18" t="inlineStr">
        <is>
          <t>Calm</t>
        </is>
      </c>
      <c r="E62" s="18" t="inlineStr">
        <is>
          <t>Unit</t>
        </is>
      </c>
      <c r="F62" s="18" t="inlineStr">
        <is>
          <t>3</t>
        </is>
      </c>
      <c r="G62" s="18" t="inlineStr">
        <is>
          <t>3</t>
        </is>
      </c>
      <c r="H62" s="18" t="inlineStr">
        <is>
          <t>Uncommon</t>
        </is>
      </c>
      <c r="I62" s="18" t="inlineStr">
        <is>
          <t>Freljord</t>
        </is>
      </c>
      <c r="J62" s="19" t="inlineStr">
        <is>
          <t>When you play me, if you control a Poro, buff me and draw 1. (If I don't have a buff, I get a +1 Might buff.)</t>
        </is>
      </c>
    </row>
    <row r="63" ht="15" customHeight="1">
      <c r="A63" s="18" t="inlineStr">
        <is>
          <t>OGN-062</t>
        </is>
      </c>
      <c r="B63" s="18" t="inlineStr"/>
      <c r="C63" s="18" t="inlineStr">
        <is>
          <t>Reinforce</t>
        </is>
      </c>
      <c r="D63" s="18" t="inlineStr">
        <is>
          <t>Calm</t>
        </is>
      </c>
      <c r="E63" s="18" t="inlineStr">
        <is>
          <t>Spell</t>
        </is>
      </c>
      <c r="F63" s="18" t="inlineStr">
        <is>
          <t>5</t>
        </is>
      </c>
      <c r="G63" s="18" t="inlineStr">
        <is>
          <t>0</t>
        </is>
      </c>
      <c r="H63" s="18" t="inlineStr">
        <is>
          <t>Uncommon</t>
        </is>
      </c>
      <c r="I63" s="18" t="inlineStr"/>
      <c r="J63" s="19" t="inlineStr">
        <is>
          <t>Look at the top 5 cards of you Main Deck. You may play a unit from among them. Its Energy cost is reduced by 5. Then recycle the remaining cards.</t>
        </is>
      </c>
    </row>
    <row r="64" ht="15" customHeight="1">
      <c r="A64" s="18" t="inlineStr">
        <is>
          <t>OGN-063</t>
        </is>
      </c>
      <c r="B64" s="18" t="inlineStr"/>
      <c r="C64" s="18" t="inlineStr">
        <is>
          <t>Spirit's Refuge</t>
        </is>
      </c>
      <c r="D64" s="18" t="inlineStr">
        <is>
          <t>Calm</t>
        </is>
      </c>
      <c r="E64" s="18" t="inlineStr">
        <is>
          <t>Gear</t>
        </is>
      </c>
      <c r="F64" s="18" t="inlineStr">
        <is>
          <t>2</t>
        </is>
      </c>
      <c r="G64" s="18" t="inlineStr">
        <is>
          <t>0</t>
        </is>
      </c>
      <c r="H64" s="18" t="inlineStr">
        <is>
          <t>Uncommon</t>
        </is>
      </c>
      <c r="I64" s="18" t="inlineStr"/>
      <c r="J64" s="19" t="inlineStr">
        <is>
          <t>When you play this, buff a friendly unit. (If it doesn't have a buff, it gets a +1 Might buff.)
Friendly buffed units have DEFLECT if they didn't already. (Opponents must pay 1 Power to choose those units with a spell or ability.)</t>
        </is>
      </c>
    </row>
    <row r="65" ht="15" customHeight="1">
      <c r="A65" s="18" t="inlineStr">
        <is>
          <t>OGN-064</t>
        </is>
      </c>
      <c r="B65" s="18" t="inlineStr"/>
      <c r="C65" s="18" t="inlineStr">
        <is>
          <t>Wind Wall</t>
        </is>
      </c>
      <c r="D65" s="18" t="inlineStr">
        <is>
          <t>Calm</t>
        </is>
      </c>
      <c r="E65" s="18" t="inlineStr">
        <is>
          <t>Spell</t>
        </is>
      </c>
      <c r="F65" s="18" t="inlineStr">
        <is>
          <t>3</t>
        </is>
      </c>
      <c r="G65" s="18" t="inlineStr">
        <is>
          <t>0</t>
        </is>
      </c>
      <c r="H65" s="18" t="inlineStr">
        <is>
          <t>Uncommon</t>
        </is>
      </c>
      <c r="I65" s="18" t="inlineStr"/>
      <c r="J65" s="19" t="inlineStr">
        <is>
          <t>REACTION (Play any time, even before spells and abilities resolve.)Counter a spell.</t>
        </is>
      </c>
    </row>
    <row r="66" ht="15" customHeight="1">
      <c r="A66" s="49" t="inlineStr">
        <is>
          <t>OGN-065</t>
        </is>
      </c>
      <c r="B66" s="49" t="n">
        <v>3</v>
      </c>
      <c r="C66" s="49" t="inlineStr">
        <is>
          <t>Wizened Elder</t>
        </is>
      </c>
      <c r="D66" s="49" t="inlineStr">
        <is>
          <t>Calm</t>
        </is>
      </c>
      <c r="E66" s="49" t="inlineStr">
        <is>
          <t>Unit</t>
        </is>
      </c>
      <c r="F66" s="49" t="inlineStr">
        <is>
          <t>4</t>
        </is>
      </c>
      <c r="G66" s="49" t="inlineStr">
        <is>
          <t>4</t>
        </is>
      </c>
      <c r="H66" s="49" t="inlineStr">
        <is>
          <t>Uncommon</t>
        </is>
      </c>
      <c r="I66" s="49" t="inlineStr">
        <is>
          <t>Ionia</t>
        </is>
      </c>
      <c r="J66" s="5" t="inlineStr">
        <is>
          <t>While I'm buffed, I have an additional +1 Might.</t>
        </is>
      </c>
    </row>
    <row r="67" ht="15" customHeight="1">
      <c r="A67" s="18" t="inlineStr">
        <is>
          <t>OGN-066</t>
        </is>
      </c>
      <c r="B67" s="18" t="inlineStr"/>
      <c r="C67" s="18" t="inlineStr">
        <is>
          <t>Ahri - Alluring</t>
        </is>
      </c>
      <c r="D67" s="18" t="inlineStr">
        <is>
          <t>Calm</t>
        </is>
      </c>
      <c r="E67" s="18" t="inlineStr">
        <is>
          <t>Champion Unit</t>
        </is>
      </c>
      <c r="F67" s="18" t="inlineStr">
        <is>
          <t>5</t>
        </is>
      </c>
      <c r="G67" s="18" t="inlineStr">
        <is>
          <t>4</t>
        </is>
      </c>
      <c r="H67" s="18" t="inlineStr">
        <is>
          <t>Rare</t>
        </is>
      </c>
      <c r="I67" s="18" t="inlineStr">
        <is>
          <t>Ahri;Ionia</t>
        </is>
      </c>
      <c r="J67" s="19" t="inlineStr">
        <is>
          <t>When I hold, you score 1 point.</t>
        </is>
      </c>
    </row>
    <row r="68" ht="15" customHeight="1">
      <c r="A68" s="49" t="inlineStr">
        <is>
          <t>OGN-067</t>
        </is>
      </c>
      <c r="B68" s="49" t="n">
        <v>1</v>
      </c>
      <c r="C68" s="49" t="inlineStr">
        <is>
          <t>Blitzcrank - Impassive</t>
        </is>
      </c>
      <c r="D68" s="49" t="inlineStr">
        <is>
          <t>Calm</t>
        </is>
      </c>
      <c r="E68" s="49" t="inlineStr">
        <is>
          <t>Champion Unit</t>
        </is>
      </c>
      <c r="F68" s="49" t="inlineStr">
        <is>
          <t>5</t>
        </is>
      </c>
      <c r="G68" s="49" t="inlineStr">
        <is>
          <t>5</t>
        </is>
      </c>
      <c r="H68" s="49" t="inlineStr">
        <is>
          <t>Rare</t>
        </is>
      </c>
      <c r="I68" s="49" t="inlineStr">
        <is>
          <t>Blitzcrank;Mech;Zaun</t>
        </is>
      </c>
      <c r="J68" s="5" t="inlineStr">
        <is>
          <t>TANK (I must be assigned combat damage first.)
When you play me to a battlefield, you may move an enemy unit to here.
When I hold, return me to my owner's hand.</t>
        </is>
      </c>
    </row>
    <row r="69" ht="15" customHeight="1">
      <c r="A69" s="18" t="inlineStr">
        <is>
          <t>OGN-068</t>
        </is>
      </c>
      <c r="B69" s="18" t="inlineStr"/>
      <c r="C69" s="18" t="inlineStr">
        <is>
          <t>Caitlyn - Patrolling</t>
        </is>
      </c>
      <c r="D69" s="18" t="inlineStr">
        <is>
          <t>Calm</t>
        </is>
      </c>
      <c r="E69" s="18" t="inlineStr">
        <is>
          <t>Champion Unit</t>
        </is>
      </c>
      <c r="F69" s="18" t="inlineStr">
        <is>
          <t>3</t>
        </is>
      </c>
      <c r="G69" s="18" t="inlineStr">
        <is>
          <t>3</t>
        </is>
      </c>
      <c r="H69" s="18" t="inlineStr">
        <is>
          <t>Rare</t>
        </is>
      </c>
      <c r="I69" s="18" t="inlineStr">
        <is>
          <t>Caitlyn;Piltover</t>
        </is>
      </c>
      <c r="J69" s="19" t="inlineStr">
        <is>
          <t>I must be assigned combat damage last.
Exhaust: Deal damage equal to my Might to a unit at a battlefield. Use this ability only while I'm at a battlefield.</t>
        </is>
      </c>
    </row>
    <row r="70" ht="15" customHeight="1">
      <c r="A70" s="18" t="inlineStr">
        <is>
          <t>OGN-069</t>
        </is>
      </c>
      <c r="B70" s="18" t="inlineStr"/>
      <c r="C70" s="18" t="inlineStr">
        <is>
          <t>Last Stand</t>
        </is>
      </c>
      <c r="D70" s="18" t="inlineStr">
        <is>
          <t>Calm</t>
        </is>
      </c>
      <c r="E70" s="18" t="inlineStr">
        <is>
          <t>Spell</t>
        </is>
      </c>
      <c r="F70" s="18" t="inlineStr">
        <is>
          <t>3</t>
        </is>
      </c>
      <c r="G70" s="18" t="inlineStr">
        <is>
          <t>0</t>
        </is>
      </c>
      <c r="H70" s="18" t="inlineStr">
        <is>
          <t>Rare</t>
        </is>
      </c>
      <c r="I70" s="18" t="inlineStr"/>
      <c r="J70" s="19" t="inlineStr">
        <is>
          <t>ACTION (Play on your turn or in showdowns.)
Double a friendly unit's Might this turn. Give it TEMPORARY. (Kill it at the start of its controller's Beginning Phase, before scoring.)</t>
        </is>
      </c>
    </row>
    <row r="71" ht="15" customHeight="1">
      <c r="A71" s="18" t="inlineStr">
        <is>
          <t>OGN-070</t>
        </is>
      </c>
      <c r="B71" s="18" t="inlineStr"/>
      <c r="C71" s="18" t="inlineStr">
        <is>
          <t>Mageseeker Warden</t>
        </is>
      </c>
      <c r="D71" s="18" t="inlineStr">
        <is>
          <t>Calm</t>
        </is>
      </c>
      <c r="E71" s="18" t="inlineStr">
        <is>
          <t>Unit</t>
        </is>
      </c>
      <c r="F71" s="18" t="inlineStr">
        <is>
          <t>6</t>
        </is>
      </c>
      <c r="G71" s="18" t="inlineStr">
        <is>
          <t>5</t>
        </is>
      </c>
      <c r="H71" s="18" t="inlineStr">
        <is>
          <t>Rare</t>
        </is>
      </c>
      <c r="I71" s="18" t="inlineStr">
        <is>
          <t>Demacia</t>
        </is>
      </c>
      <c r="J71" s="19" t="inlineStr">
        <is>
          <t>While I'm at a battlefield, opponents can only play units to their base.
While I'm at a battlefield, spells and abilities can't ready enemy units and gears.</t>
        </is>
      </c>
    </row>
    <row r="72" ht="15" customHeight="1">
      <c r="A72" s="18" t="inlineStr">
        <is>
          <t>OGN-071</t>
        </is>
      </c>
      <c r="B72" s="18" t="inlineStr"/>
      <c r="C72" s="18" t="inlineStr">
        <is>
          <t>Party Favors</t>
        </is>
      </c>
      <c r="D72" s="18" t="inlineStr">
        <is>
          <t>Calm</t>
        </is>
      </c>
      <c r="E72" s="18" t="inlineStr">
        <is>
          <t>Spell</t>
        </is>
      </c>
      <c r="F72" s="18" t="inlineStr">
        <is>
          <t>3</t>
        </is>
      </c>
      <c r="G72" s="18" t="inlineStr">
        <is>
          <t>0</t>
        </is>
      </c>
      <c r="H72" s="18" t="inlineStr">
        <is>
          <t>Rare</t>
        </is>
      </c>
      <c r="I72" s="18" t="inlineStr"/>
      <c r="J72" s="19" t="inlineStr">
        <is>
          <t>Each other player chooses Cards or Runes.
For each player that chooses Cards, you and that player each draw 1.
For each player that chooses Runes, you and that player each channel 1 rune exhausted.</t>
        </is>
      </c>
    </row>
    <row r="73" ht="15" customHeight="1">
      <c r="A73" s="49" t="inlineStr">
        <is>
          <t>OGN-072</t>
        </is>
      </c>
      <c r="B73" s="49" t="n">
        <v>1</v>
      </c>
      <c r="C73" s="49" t="inlineStr">
        <is>
          <t>Solari Shrine</t>
        </is>
      </c>
      <c r="D73" s="49" t="inlineStr">
        <is>
          <t>Calm</t>
        </is>
      </c>
      <c r="E73" s="49" t="inlineStr">
        <is>
          <t>Gear</t>
        </is>
      </c>
      <c r="F73" s="49" t="inlineStr">
        <is>
          <t>3</t>
        </is>
      </c>
      <c r="G73" s="49" t="inlineStr">
        <is>
          <t>0</t>
        </is>
      </c>
      <c r="H73" s="49" t="inlineStr">
        <is>
          <t>Rare</t>
        </is>
      </c>
      <c r="I73" s="49" t="inlineStr"/>
      <c r="J73" s="5" t="inlineStr">
        <is>
          <t>When you kill a stunned enemy unit, you may exhaust this to draw 1.</t>
        </is>
      </c>
    </row>
    <row r="74" ht="15" customHeight="1">
      <c r="A74" s="18" t="inlineStr">
        <is>
          <t>OGN-073</t>
        </is>
      </c>
      <c r="B74" s="18" t="inlineStr"/>
      <c r="C74" s="18" t="inlineStr">
        <is>
          <t>Sona - Harmonious</t>
        </is>
      </c>
      <c r="D74" s="18" t="inlineStr">
        <is>
          <t>Calm</t>
        </is>
      </c>
      <c r="E74" s="18" t="inlineStr">
        <is>
          <t>Champion Unit</t>
        </is>
      </c>
      <c r="F74" s="18" t="inlineStr">
        <is>
          <t>4</t>
        </is>
      </c>
      <c r="G74" s="18" t="inlineStr">
        <is>
          <t>4</t>
        </is>
      </c>
      <c r="H74" s="18" t="inlineStr">
        <is>
          <t>Rare</t>
        </is>
      </c>
      <c r="I74" s="18" t="inlineStr">
        <is>
          <t>Demacia;Sona</t>
        </is>
      </c>
      <c r="J74" s="19" t="inlineStr">
        <is>
          <t>While I'm at a battlefield, ready 4 friendly runes at the end of your turn.</t>
        </is>
      </c>
    </row>
    <row r="75" ht="15" customHeight="1">
      <c r="A75" s="18" t="inlineStr">
        <is>
          <t>OGN-074</t>
        </is>
      </c>
      <c r="B75" s="18" t="inlineStr"/>
      <c r="C75" s="18" t="inlineStr">
        <is>
          <t>Taric - Protector</t>
        </is>
      </c>
      <c r="D75" s="18" t="inlineStr">
        <is>
          <t>Calm</t>
        </is>
      </c>
      <c r="E75" s="18" t="inlineStr">
        <is>
          <t>Champion Unit</t>
        </is>
      </c>
      <c r="F75" s="18" t="inlineStr">
        <is>
          <t>4</t>
        </is>
      </c>
      <c r="G75" s="18" t="inlineStr">
        <is>
          <t>4</t>
        </is>
      </c>
      <c r="H75" s="18" t="inlineStr">
        <is>
          <t>Rare</t>
        </is>
      </c>
      <c r="I75" s="18" t="inlineStr">
        <is>
          <t>Mount Targon;Taric</t>
        </is>
      </c>
      <c r="J75" s="19" t="inlineStr">
        <is>
          <t>SHIELD (+1 Might while I'm a defender.)TANK (I must be assigned combat damage first.)Other friendly units here have SHIELD.</t>
        </is>
      </c>
    </row>
    <row r="76" ht="15" customHeight="1">
      <c r="A76" s="18" t="inlineStr">
        <is>
          <t>OGN-075</t>
        </is>
      </c>
      <c r="B76" s="18" t="inlineStr"/>
      <c r="C76" s="18" t="inlineStr">
        <is>
          <t>Tasty Faefolk</t>
        </is>
      </c>
      <c r="D76" s="18" t="inlineStr">
        <is>
          <t>Calm</t>
        </is>
      </c>
      <c r="E76" s="18" t="inlineStr">
        <is>
          <t>Unit</t>
        </is>
      </c>
      <c r="F76" s="18" t="inlineStr">
        <is>
          <t>7</t>
        </is>
      </c>
      <c r="G76" s="18" t="inlineStr">
        <is>
          <t>6</t>
        </is>
      </c>
      <c r="H76" s="18" t="inlineStr">
        <is>
          <t>Rare</t>
        </is>
      </c>
      <c r="I76" s="18" t="inlineStr">
        <is>
          <t>Bandle City;Fae</t>
        </is>
      </c>
      <c r="J76" s="19" t="inlineStr">
        <is>
          <t>ACCELERATE (You may play 1 Calm as an additional cost to have me enter ready.)DEATHKNELL - Channel 2 runes exhausted and draw 1. (When I die, get the effect.)</t>
        </is>
      </c>
    </row>
    <row r="77" ht="15" customHeight="1">
      <c r="A77" s="18" t="inlineStr">
        <is>
          <t>OGN-076</t>
        </is>
      </c>
      <c r="B77" s="18" t="inlineStr"/>
      <c r="C77" s="18" t="inlineStr">
        <is>
          <t>Yasuo - Remorseful</t>
        </is>
      </c>
      <c r="D77" s="18" t="inlineStr">
        <is>
          <t>Calm</t>
        </is>
      </c>
      <c r="E77" s="18" t="inlineStr">
        <is>
          <t>Champion Unit</t>
        </is>
      </c>
      <c r="F77" s="18" t="inlineStr">
        <is>
          <t>6</t>
        </is>
      </c>
      <c r="G77" s="18" t="inlineStr">
        <is>
          <t>6</t>
        </is>
      </c>
      <c r="H77" s="18" t="inlineStr">
        <is>
          <t>Rare</t>
        </is>
      </c>
      <c r="I77" s="18" t="inlineStr">
        <is>
          <t>Ionia;Yasuo</t>
        </is>
      </c>
      <c r="J77" s="19" t="inlineStr">
        <is>
          <t>When I attack, deal damage equal to my Might to an enemy unit here.</t>
        </is>
      </c>
    </row>
    <row r="78" ht="15" customHeight="1">
      <c r="A78" s="18" t="inlineStr">
        <is>
          <t>OGN-077</t>
        </is>
      </c>
      <c r="B78" s="18" t="inlineStr"/>
      <c r="C78" s="18" t="inlineStr">
        <is>
          <t>Zhonya's Hourglass</t>
        </is>
      </c>
      <c r="D78" s="18" t="inlineStr">
        <is>
          <t>Calm</t>
        </is>
      </c>
      <c r="E78" s="18" t="inlineStr">
        <is>
          <t>Gear</t>
        </is>
      </c>
      <c r="F78" s="18" t="inlineStr">
        <is>
          <t>2</t>
        </is>
      </c>
      <c r="G78" s="18" t="inlineStr">
        <is>
          <t>0</t>
        </is>
      </c>
      <c r="H78" s="18" t="inlineStr">
        <is>
          <t>Rare</t>
        </is>
      </c>
      <c r="I78" s="18" t="inlineStr"/>
      <c r="J78" s="19" t="inlineStr">
        <is>
          <t>HIDDEN (Hide now for 1 Rune to react with later for 0.)The next time a friendly unit would die, kill this instead. Recall that unit exhausted. (Send it to base. This isn't a move.)</t>
        </is>
      </c>
    </row>
    <row r="79" ht="15" customHeight="1">
      <c r="A79" s="18" t="inlineStr">
        <is>
          <t>OGN-078</t>
        </is>
      </c>
      <c r="B79" s="18" t="inlineStr"/>
      <c r="C79" s="18" t="inlineStr">
        <is>
          <t>Lee Sin - Ascetic</t>
        </is>
      </c>
      <c r="D79" s="18" t="inlineStr">
        <is>
          <t>Calm</t>
        </is>
      </c>
      <c r="E79" s="18" t="inlineStr">
        <is>
          <t>Champion Unit</t>
        </is>
      </c>
      <c r="F79" s="18" t="inlineStr">
        <is>
          <t>5</t>
        </is>
      </c>
      <c r="G79" s="18" t="inlineStr">
        <is>
          <t>5</t>
        </is>
      </c>
      <c r="H79" s="18" t="inlineStr">
        <is>
          <t>Epic</t>
        </is>
      </c>
      <c r="I79" s="18" t="inlineStr">
        <is>
          <t>Ionia;Lee Sin</t>
        </is>
      </c>
      <c r="J79" s="19" t="inlineStr">
        <is>
          <t>SHIELD (+1 Might while I'm a defender.)
Exhaust: Buff me. (I get a +1 Might buff.)
I can have any number of buffs.</t>
        </is>
      </c>
    </row>
    <row r="80" ht="15" customHeight="1">
      <c r="A80" s="18" t="inlineStr">
        <is>
          <t>OGN-079</t>
        </is>
      </c>
      <c r="B80" s="18" t="inlineStr"/>
      <c r="C80" s="18" t="inlineStr">
        <is>
          <t>Leona - Zealot</t>
        </is>
      </c>
      <c r="D80" s="18" t="inlineStr">
        <is>
          <t>Calm</t>
        </is>
      </c>
      <c r="E80" s="18" t="inlineStr">
        <is>
          <t>Champion Unit</t>
        </is>
      </c>
      <c r="F80" s="18" t="inlineStr">
        <is>
          <t>6</t>
        </is>
      </c>
      <c r="G80" s="18" t="inlineStr">
        <is>
          <t>6</t>
        </is>
      </c>
      <c r="H80" s="18" t="inlineStr">
        <is>
          <t>Epic</t>
        </is>
      </c>
      <c r="I80" s="18" t="inlineStr">
        <is>
          <t>Leona;Mount Targon</t>
        </is>
      </c>
      <c r="J80" s="19" t="inlineStr">
        <is>
          <t>If an opponent's score is within 3 points of the Victory Score, I enter ready.
Stunned enemy units here have -8 Might, to a minimum of 1 Might.</t>
        </is>
      </c>
    </row>
    <row r="81" ht="15" customHeight="1">
      <c r="A81" s="18" t="inlineStr">
        <is>
          <t>OGN-080</t>
        </is>
      </c>
      <c r="B81" s="18" t="inlineStr"/>
      <c r="C81" s="18" t="inlineStr">
        <is>
          <t>Mystic Reversal</t>
        </is>
      </c>
      <c r="D81" s="18" t="inlineStr">
        <is>
          <t>Calm</t>
        </is>
      </c>
      <c r="E81" s="18" t="inlineStr">
        <is>
          <t>Spell</t>
        </is>
      </c>
      <c r="F81" s="18" t="inlineStr">
        <is>
          <t>4</t>
        </is>
      </c>
      <c r="G81" s="18" t="inlineStr">
        <is>
          <t>0</t>
        </is>
      </c>
      <c r="H81" s="18" t="inlineStr">
        <is>
          <t>Epic</t>
        </is>
      </c>
      <c r="I81" s="18" t="inlineStr"/>
      <c r="J81" s="19" t="inlineStr">
        <is>
          <t>REACTION (Play any time, even before spells and abilities resolve.)Gain control of a spell. You may make new choices for it.</t>
        </is>
      </c>
    </row>
    <row r="82" ht="15" customHeight="1">
      <c r="A82" s="18" t="inlineStr">
        <is>
          <t>OGN-081</t>
        </is>
      </c>
      <c r="B82" s="18" t="inlineStr"/>
      <c r="C82" s="18" t="inlineStr">
        <is>
          <t>Seal of Focus</t>
        </is>
      </c>
      <c r="D82" s="18" t="inlineStr">
        <is>
          <t>Calm</t>
        </is>
      </c>
      <c r="E82" s="18" t="inlineStr">
        <is>
          <t>Gear</t>
        </is>
      </c>
      <c r="F82" s="18" t="inlineStr">
        <is>
          <t>0</t>
        </is>
      </c>
      <c r="G82" s="18" t="inlineStr">
        <is>
          <t>0</t>
        </is>
      </c>
      <c r="H82" s="18" t="inlineStr">
        <is>
          <t>Epic</t>
        </is>
      </c>
      <c r="I82" s="18" t="inlineStr"/>
      <c r="J82" s="19" t="inlineStr">
        <is>
          <t>Exhaust: REACTION - ADD calm. (Abilities that add resources can't be reacted to.)</t>
        </is>
      </c>
    </row>
    <row r="83" ht="15" customHeight="1">
      <c r="A83" s="18" t="inlineStr">
        <is>
          <t>OGN-082</t>
        </is>
      </c>
      <c r="B83" s="18" t="inlineStr"/>
      <c r="C83" s="18" t="inlineStr">
        <is>
          <t>Whiteflame Protector</t>
        </is>
      </c>
      <c r="D83" s="18" t="inlineStr">
        <is>
          <t>Calm</t>
        </is>
      </c>
      <c r="E83" s="18" t="inlineStr">
        <is>
          <t>Unit</t>
        </is>
      </c>
      <c r="F83" s="18" t="inlineStr">
        <is>
          <t>8</t>
        </is>
      </c>
      <c r="G83" s="18" t="inlineStr">
        <is>
          <t>8</t>
        </is>
      </c>
      <c r="H83" s="18" t="inlineStr">
        <is>
          <t>Epic</t>
        </is>
      </c>
      <c r="I83" s="18" t="inlineStr">
        <is>
          <t>Dragon;Mount Targon</t>
        </is>
      </c>
      <c r="J83" s="19" t="inlineStr">
        <is>
          <t>When you play me, give a unit +8 Might this turn.</t>
        </is>
      </c>
    </row>
    <row r="84" ht="15" customHeight="1">
      <c r="A84" s="54" t="inlineStr">
        <is>
          <t>OGN-083</t>
        </is>
      </c>
      <c r="B84" s="54" t="n">
        <v>3</v>
      </c>
      <c r="C84" s="54" t="inlineStr">
        <is>
          <t>Consult the Past</t>
        </is>
      </c>
      <c r="D84" s="54" t="inlineStr">
        <is>
          <t>Mind</t>
        </is>
      </c>
      <c r="E84" s="54" t="inlineStr">
        <is>
          <t>Spell</t>
        </is>
      </c>
      <c r="F84" s="54" t="inlineStr">
        <is>
          <t>4</t>
        </is>
      </c>
      <c r="G84" s="54" t="inlineStr">
        <is>
          <t>0</t>
        </is>
      </c>
      <c r="H84" s="54" t="inlineStr">
        <is>
          <t>Common</t>
        </is>
      </c>
      <c r="I84" s="54" t="inlineStr"/>
      <c r="J84" s="7" t="inlineStr">
        <is>
          <t>HIDDEN (Hide now for 1 Rune to react with later for 0.)
REACTION (Play any time, even before spells and abilities resolve.)
Draw 2.</t>
        </is>
      </c>
    </row>
    <row r="85" ht="15" customHeight="1">
      <c r="A85" s="54" t="inlineStr">
        <is>
          <t>OGN-084</t>
        </is>
      </c>
      <c r="B85" s="54" t="n">
        <v>3</v>
      </c>
      <c r="C85" s="54" t="inlineStr">
        <is>
          <t>Eager Apprentice</t>
        </is>
      </c>
      <c r="D85" s="54" t="inlineStr">
        <is>
          <t>Mind</t>
        </is>
      </c>
      <c r="E85" s="54" t="inlineStr">
        <is>
          <t>Unit</t>
        </is>
      </c>
      <c r="F85" s="54" t="inlineStr">
        <is>
          <t>3</t>
        </is>
      </c>
      <c r="G85" s="54" t="inlineStr">
        <is>
          <t>3</t>
        </is>
      </c>
      <c r="H85" s="54" t="inlineStr">
        <is>
          <t>Common</t>
        </is>
      </c>
      <c r="I85" s="54" t="inlineStr">
        <is>
          <t>Piltover</t>
        </is>
      </c>
      <c r="J85" s="7" t="inlineStr">
        <is>
          <t>While I'm at a battlefield, the Energy costs for spells you play is reduced by 1, to a minimum of 1.</t>
        </is>
      </c>
    </row>
    <row r="86" ht="15" customHeight="1">
      <c r="A86" s="20" t="inlineStr">
        <is>
          <t>OGN-085</t>
        </is>
      </c>
      <c r="B86" s="20" t="inlineStr"/>
      <c r="C86" s="20" t="inlineStr">
        <is>
          <t>Falling Comet</t>
        </is>
      </c>
      <c r="D86" s="20" t="inlineStr">
        <is>
          <t>Mind</t>
        </is>
      </c>
      <c r="E86" s="20" t="inlineStr">
        <is>
          <t>Spell</t>
        </is>
      </c>
      <c r="F86" s="20" t="inlineStr">
        <is>
          <t>5</t>
        </is>
      </c>
      <c r="G86" s="20" t="inlineStr">
        <is>
          <t>0</t>
        </is>
      </c>
      <c r="H86" s="20" t="inlineStr">
        <is>
          <t>Common</t>
        </is>
      </c>
      <c r="I86" s="20" t="inlineStr"/>
      <c r="J86" s="21" t="inlineStr">
        <is>
          <t>ACTION (play on your turn or in showdowns.)</t>
        </is>
      </c>
    </row>
    <row r="87" ht="15" customHeight="1">
      <c r="A87" s="54" t="inlineStr">
        <is>
          <t>OGN-086</t>
        </is>
      </c>
      <c r="B87" s="54" t="n">
        <v>2</v>
      </c>
      <c r="C87" s="54" t="inlineStr">
        <is>
          <t>Jeweled Colossus</t>
        </is>
      </c>
      <c r="D87" s="54" t="inlineStr">
        <is>
          <t>Mind</t>
        </is>
      </c>
      <c r="E87" s="54" t="inlineStr">
        <is>
          <t>Unit</t>
        </is>
      </c>
      <c r="F87" s="54" t="inlineStr">
        <is>
          <t>5</t>
        </is>
      </c>
      <c r="G87" s="54" t="inlineStr">
        <is>
          <t>5</t>
        </is>
      </c>
      <c r="H87" s="54" t="inlineStr">
        <is>
          <t>Common</t>
        </is>
      </c>
      <c r="I87" s="54" t="inlineStr">
        <is>
          <t>Mount Targon</t>
        </is>
      </c>
      <c r="J87" s="7" t="inlineStr">
        <is>
          <t>VISION (When you play me, look at the top card of your Main Deck. You may recycle it.)
SHIELD (+1 Might while I'm a defender.)</t>
        </is>
      </c>
    </row>
    <row r="88" ht="15" customHeight="1">
      <c r="A88" s="54" t="inlineStr">
        <is>
          <t>OGN-087</t>
        </is>
      </c>
      <c r="B88" s="54" t="n">
        <v>2</v>
      </c>
      <c r="C88" s="54" t="inlineStr">
        <is>
          <t>Lecturing Yordle</t>
        </is>
      </c>
      <c r="D88" s="54" t="inlineStr">
        <is>
          <t>Mind</t>
        </is>
      </c>
      <c r="E88" s="54" t="inlineStr">
        <is>
          <t>Unit</t>
        </is>
      </c>
      <c r="F88" s="54" t="inlineStr">
        <is>
          <t>3</t>
        </is>
      </c>
      <c r="G88" s="54" t="inlineStr">
        <is>
          <t>2</t>
        </is>
      </c>
      <c r="H88" s="54" t="inlineStr">
        <is>
          <t>Common</t>
        </is>
      </c>
      <c r="I88" s="54" t="inlineStr">
        <is>
          <t>Bandle City;Yordle</t>
        </is>
      </c>
      <c r="J88" s="7" t="inlineStr">
        <is>
          <t>TANK (I must be assigned combat damage first.)
When you play me, draw 1.</t>
        </is>
      </c>
    </row>
    <row r="89" ht="15" customHeight="1">
      <c r="A89" s="20" t="inlineStr">
        <is>
          <t>OGN-088</t>
        </is>
      </c>
      <c r="B89" s="20" t="inlineStr"/>
      <c r="C89" s="20" t="inlineStr">
        <is>
          <t>Mega-Mech</t>
        </is>
      </c>
      <c r="D89" s="20" t="inlineStr">
        <is>
          <t>Mind</t>
        </is>
      </c>
      <c r="E89" s="20" t="inlineStr">
        <is>
          <t>Unit</t>
        </is>
      </c>
      <c r="F89" s="20" t="inlineStr">
        <is>
          <t>7</t>
        </is>
      </c>
      <c r="G89" s="20" t="inlineStr">
        <is>
          <t>8</t>
        </is>
      </c>
      <c r="H89" s="20" t="inlineStr">
        <is>
          <t>Common</t>
        </is>
      </c>
      <c r="I89" s="20" t="inlineStr">
        <is>
          <t>Bandle City;Mech</t>
        </is>
      </c>
      <c r="J89" s="21" t="inlineStr"/>
    </row>
    <row r="90" ht="15" customHeight="1">
      <c r="A90" s="20" t="inlineStr">
        <is>
          <t>OGN-089</t>
        </is>
      </c>
      <c r="B90" s="20" t="inlineStr"/>
      <c r="C90" s="20" t="inlineStr">
        <is>
          <t>Mind Rune</t>
        </is>
      </c>
      <c r="D90" s="20" t="inlineStr">
        <is>
          <t>Mind</t>
        </is>
      </c>
      <c r="E90" s="20" t="inlineStr">
        <is>
          <t>Rune</t>
        </is>
      </c>
      <c r="F90" s="20" t="inlineStr">
        <is>
          <t>0</t>
        </is>
      </c>
      <c r="G90" s="20" t="inlineStr">
        <is>
          <t>0</t>
        </is>
      </c>
      <c r="H90" s="20" t="inlineStr">
        <is>
          <t>Common</t>
        </is>
      </c>
      <c r="I90" s="20" t="inlineStr"/>
      <c r="J90" s="21" t="inlineStr"/>
    </row>
    <row r="91" ht="15" customHeight="1">
      <c r="A91" s="54" t="inlineStr">
        <is>
          <t>OGN-090</t>
        </is>
      </c>
      <c r="B91" s="54" t="n">
        <v>2</v>
      </c>
      <c r="C91" s="54" t="inlineStr">
        <is>
          <t>Orb of Regret</t>
        </is>
      </c>
      <c r="D91" s="54" t="inlineStr">
        <is>
          <t>Mind</t>
        </is>
      </c>
      <c r="E91" s="54" t="inlineStr">
        <is>
          <t>Gear</t>
        </is>
      </c>
      <c r="F91" s="54" t="inlineStr">
        <is>
          <t>1</t>
        </is>
      </c>
      <c r="G91" s="54" t="inlineStr">
        <is>
          <t>0</t>
        </is>
      </c>
      <c r="H91" s="54" t="inlineStr">
        <is>
          <t>Common</t>
        </is>
      </c>
      <c r="I91" s="54" t="inlineStr"/>
      <c r="J91" s="7" t="inlineStr">
        <is>
          <t>Exhaust: Give a unit -1 Might this turn, to a minimum of 1 Might.</t>
        </is>
      </c>
    </row>
    <row r="92" ht="15" customHeight="1">
      <c r="A92" s="20" t="inlineStr">
        <is>
          <t>OGN-091</t>
        </is>
      </c>
      <c r="B92" s="20" t="inlineStr"/>
      <c r="C92" s="20" t="inlineStr">
        <is>
          <t>Pit Crew</t>
        </is>
      </c>
      <c r="D92" s="20" t="inlineStr">
        <is>
          <t>Mind</t>
        </is>
      </c>
      <c r="E92" s="20" t="inlineStr">
        <is>
          <t>Unit</t>
        </is>
      </c>
      <c r="F92" s="20" t="inlineStr">
        <is>
          <t>3</t>
        </is>
      </c>
      <c r="G92" s="20" t="inlineStr">
        <is>
          <t>3</t>
        </is>
      </c>
      <c r="H92" s="20" t="inlineStr">
        <is>
          <t>Common</t>
        </is>
      </c>
      <c r="I92" s="20" t="inlineStr">
        <is>
          <t>Bandle City</t>
        </is>
      </c>
      <c r="J92" s="21" t="inlineStr">
        <is>
          <t>When you play a gear, ready me.</t>
        </is>
      </c>
    </row>
    <row r="93" ht="15" customHeight="1">
      <c r="A93" s="20" t="inlineStr">
        <is>
          <t>OGN-092</t>
        </is>
      </c>
      <c r="B93" s="20" t="inlineStr"/>
      <c r="C93" s="20" t="inlineStr">
        <is>
          <t>Riptide Rex</t>
        </is>
      </c>
      <c r="D93" s="20" t="inlineStr">
        <is>
          <t>Mind</t>
        </is>
      </c>
      <c r="E93" s="20" t="inlineStr">
        <is>
          <t>Unit</t>
        </is>
      </c>
      <c r="F93" s="20" t="inlineStr">
        <is>
          <t>6</t>
        </is>
      </c>
      <c r="G93" s="20" t="inlineStr">
        <is>
          <t>6</t>
        </is>
      </c>
      <c r="H93" s="20" t="inlineStr">
        <is>
          <t>Common</t>
        </is>
      </c>
      <c r="I93" s="20" t="inlineStr">
        <is>
          <t>Bilgewater;Pirate</t>
        </is>
      </c>
      <c r="J93" s="21" t="inlineStr">
        <is>
          <t>When you play me, deal 6 to an enemy unit at a battlefield.</t>
        </is>
      </c>
    </row>
    <row r="94" ht="15" customHeight="1">
      <c r="A94" s="54" t="inlineStr">
        <is>
          <t>OGN-093</t>
        </is>
      </c>
      <c r="B94" s="54" t="n">
        <v>3</v>
      </c>
      <c r="C94" s="54" t="inlineStr">
        <is>
          <t>Smoke Screen</t>
        </is>
      </c>
      <c r="D94" s="54" t="inlineStr">
        <is>
          <t>Mind</t>
        </is>
      </c>
      <c r="E94" s="54" t="inlineStr">
        <is>
          <t>Spell</t>
        </is>
      </c>
      <c r="F94" s="54" t="inlineStr">
        <is>
          <t>2</t>
        </is>
      </c>
      <c r="G94" s="54" t="inlineStr">
        <is>
          <t>0</t>
        </is>
      </c>
      <c r="H94" s="54" t="inlineStr">
        <is>
          <t>Common</t>
        </is>
      </c>
      <c r="I94" s="54" t="inlineStr"/>
      <c r="J94" s="7" t="inlineStr">
        <is>
          <t>Exhaust: Give a unit -1 Might this turn, to a minimum of 1 Might.</t>
        </is>
      </c>
    </row>
    <row r="95" ht="15" customHeight="1">
      <c r="A95" s="54" t="inlineStr">
        <is>
          <t>OGN-094</t>
        </is>
      </c>
      <c r="B95" s="54" t="n">
        <v>2</v>
      </c>
      <c r="C95" s="54" t="inlineStr">
        <is>
          <t>Sprite Call</t>
        </is>
      </c>
      <c r="D95" s="54" t="inlineStr">
        <is>
          <t>Mind</t>
        </is>
      </c>
      <c r="E95" s="54" t="inlineStr">
        <is>
          <t>Spell</t>
        </is>
      </c>
      <c r="F95" s="54" t="inlineStr">
        <is>
          <t>3</t>
        </is>
      </c>
      <c r="G95" s="54" t="inlineStr">
        <is>
          <t>0</t>
        </is>
      </c>
      <c r="H95" s="54" t="inlineStr">
        <is>
          <t>Common</t>
        </is>
      </c>
      <c r="I95" s="54" t="inlineStr"/>
      <c r="J95" s="7" t="inlineStr">
        <is>
          <t>HIDDEN (Hide now for 1 Rune to react with later for 0.)
ACTION (Play on your turn or in showdowns.)
Play a ready 3 Might Sprite unit token with TEMPORARY. (Kill it at the start of its controller's Beginning Phase, before scoring.)</t>
        </is>
      </c>
    </row>
    <row r="96" ht="15" customHeight="1">
      <c r="A96" s="54" t="inlineStr">
        <is>
          <t>OGN-095</t>
        </is>
      </c>
      <c r="B96" s="54" t="n">
        <v>3</v>
      </c>
      <c r="C96" s="54" t="inlineStr">
        <is>
          <t>Stupefy</t>
        </is>
      </c>
      <c r="D96" s="54" t="inlineStr">
        <is>
          <t>Mind</t>
        </is>
      </c>
      <c r="E96" s="54" t="inlineStr">
        <is>
          <t>Spell</t>
        </is>
      </c>
      <c r="F96" s="54" t="inlineStr">
        <is>
          <t>1</t>
        </is>
      </c>
      <c r="G96" s="54" t="inlineStr">
        <is>
          <t>0</t>
        </is>
      </c>
      <c r="H96" s="54" t="inlineStr">
        <is>
          <t>Common</t>
        </is>
      </c>
      <c r="I96" s="54" t="inlineStr"/>
      <c r="J96" s="7" t="inlineStr">
        <is>
          <t>REACTION (Play any time, even before spells and abilities resolve.)
Give a unit -1 Might this turn, to a minimum of 1 Might. Draw 1.</t>
        </is>
      </c>
    </row>
    <row r="97" ht="15" customHeight="1">
      <c r="A97" s="54" t="inlineStr">
        <is>
          <t>OGN-096</t>
        </is>
      </c>
      <c r="B97" s="54" t="n">
        <v>1</v>
      </c>
      <c r="C97" s="54" t="inlineStr">
        <is>
          <t>Watchful Sentry</t>
        </is>
      </c>
      <c r="D97" s="54" t="inlineStr">
        <is>
          <t>Mind</t>
        </is>
      </c>
      <c r="E97" s="54" t="inlineStr">
        <is>
          <t>Unit</t>
        </is>
      </c>
      <c r="F97" s="54" t="inlineStr">
        <is>
          <t>2</t>
        </is>
      </c>
      <c r="G97" s="54" t="inlineStr">
        <is>
          <t>1</t>
        </is>
      </c>
      <c r="H97" s="54" t="inlineStr">
        <is>
          <t>Common</t>
        </is>
      </c>
      <c r="I97" s="54" t="inlineStr">
        <is>
          <t>Freljord</t>
        </is>
      </c>
      <c r="J97" s="7" t="inlineStr">
        <is>
          <t>DEATHKNELL - Draw 1. (When I die, get the effect.)</t>
        </is>
      </c>
    </row>
    <row r="98" ht="15" customHeight="1">
      <c r="A98" s="20" t="inlineStr">
        <is>
          <t>OGN-097</t>
        </is>
      </c>
      <c r="B98" s="20" t="inlineStr"/>
      <c r="C98" s="20" t="inlineStr">
        <is>
          <t>Blastcone Fae</t>
        </is>
      </c>
      <c r="D98" s="20" t="inlineStr">
        <is>
          <t>Mind</t>
        </is>
      </c>
      <c r="E98" s="20" t="inlineStr">
        <is>
          <t>Unit</t>
        </is>
      </c>
      <c r="F98" s="20" t="inlineStr">
        <is>
          <t>2</t>
        </is>
      </c>
      <c r="G98" s="20" t="inlineStr">
        <is>
          <t>2</t>
        </is>
      </c>
      <c r="H98" s="20" t="inlineStr">
        <is>
          <t>Uncommon</t>
        </is>
      </c>
      <c r="I98" s="20" t="inlineStr">
        <is>
          <t>Bandle City;Fae</t>
        </is>
      </c>
      <c r="J98" s="21" t="inlineStr">
        <is>
          <t>HIDDEN (Hide now for 1 Rune to react with later for 0.)
When you play me, give a unit -2 Might this turn, to a minimum of 1 Might.</t>
        </is>
      </c>
    </row>
    <row r="99" ht="15" customHeight="1">
      <c r="A99" s="20" t="inlineStr">
        <is>
          <t>OGN-098</t>
        </is>
      </c>
      <c r="B99" s="20" t="inlineStr"/>
      <c r="C99" s="20" t="inlineStr">
        <is>
          <t>Energy Conduit</t>
        </is>
      </c>
      <c r="D99" s="20" t="inlineStr">
        <is>
          <t>Mind</t>
        </is>
      </c>
      <c r="E99" s="20" t="inlineStr">
        <is>
          <t>Gear</t>
        </is>
      </c>
      <c r="F99" s="20" t="inlineStr">
        <is>
          <t>3</t>
        </is>
      </c>
      <c r="G99" s="20" t="inlineStr">
        <is>
          <t>0</t>
        </is>
      </c>
      <c r="H99" s="20" t="inlineStr">
        <is>
          <t>Uncommon</t>
        </is>
      </c>
      <c r="I99" s="20" t="inlineStr"/>
      <c r="J99" s="21" t="inlineStr">
        <is>
          <t>Exhaust: REACTION - ADD 1. (Abilities that add resources can't be reacted to.)</t>
        </is>
      </c>
    </row>
    <row r="100" ht="15" customHeight="1">
      <c r="A100" s="20" t="inlineStr">
        <is>
          <t>OGN-099</t>
        </is>
      </c>
      <c r="B100" s="20" t="inlineStr"/>
      <c r="C100" s="20" t="inlineStr">
        <is>
          <t>Garbage Grabber</t>
        </is>
      </c>
      <c r="D100" s="20" t="inlineStr">
        <is>
          <t>Mind</t>
        </is>
      </c>
      <c r="E100" s="20" t="inlineStr">
        <is>
          <t>Gear</t>
        </is>
      </c>
      <c r="F100" s="20" t="inlineStr">
        <is>
          <t>2</t>
        </is>
      </c>
      <c r="G100" s="20" t="inlineStr">
        <is>
          <t>0</t>
        </is>
      </c>
      <c r="H100" s="20" t="inlineStr">
        <is>
          <t>Uncommon</t>
        </is>
      </c>
      <c r="I100" s="20" t="inlineStr"/>
      <c r="J100" s="21" t="inlineStr">
        <is>
          <t>Recycle 3 from your trash, 1, Exhaust: Draw 1.</t>
        </is>
      </c>
    </row>
    <row r="101" ht="15" customHeight="1">
      <c r="A101" s="20" t="inlineStr">
        <is>
          <t>OGN-100</t>
        </is>
      </c>
      <c r="B101" s="20" t="inlineStr"/>
      <c r="C101" s="20" t="inlineStr">
        <is>
          <t>Gemcraft Seer</t>
        </is>
      </c>
      <c r="D101" s="20" t="inlineStr">
        <is>
          <t>Mind</t>
        </is>
      </c>
      <c r="E101" s="20" t="inlineStr">
        <is>
          <t>Unit</t>
        </is>
      </c>
      <c r="F101" s="20" t="inlineStr">
        <is>
          <t>3</t>
        </is>
      </c>
      <c r="G101" s="20" t="inlineStr">
        <is>
          <t>3</t>
        </is>
      </c>
      <c r="H101" s="20" t="inlineStr">
        <is>
          <t>Uncommon</t>
        </is>
      </c>
      <c r="I101" s="20" t="inlineStr">
        <is>
          <t>Mount Targon</t>
        </is>
      </c>
      <c r="J101" s="21" t="inlineStr">
        <is>
          <t>VISION (When you play me, look at the top card of your Main Deck. You may recycle it.)
Other friendly units have VISION.</t>
        </is>
      </c>
    </row>
    <row r="102" ht="15" customHeight="1">
      <c r="A102" s="54" t="inlineStr">
        <is>
          <t>OGN-101</t>
        </is>
      </c>
      <c r="B102" s="54" t="n">
        <v>2</v>
      </c>
      <c r="C102" s="54" t="inlineStr">
        <is>
          <t>Mushroom Pouch</t>
        </is>
      </c>
      <c r="D102" s="54" t="inlineStr">
        <is>
          <t>Mind</t>
        </is>
      </c>
      <c r="E102" s="54" t="inlineStr">
        <is>
          <t>Gear</t>
        </is>
      </c>
      <c r="F102" s="54" t="inlineStr">
        <is>
          <t>2</t>
        </is>
      </c>
      <c r="G102" s="54" t="inlineStr">
        <is>
          <t>0</t>
        </is>
      </c>
      <c r="H102" s="54" t="inlineStr">
        <is>
          <t>Uncommon</t>
        </is>
      </c>
      <c r="I102" s="54" t="inlineStr"/>
      <c r="J102" s="7" t="inlineStr">
        <is>
          <t>At the start of your Beginning Phase, if you control a facedown card at a battlefield, draw 1.</t>
        </is>
      </c>
    </row>
    <row r="103" ht="15" customHeight="1">
      <c r="A103" s="20" t="inlineStr">
        <is>
          <t>OGN-102</t>
        </is>
      </c>
      <c r="B103" s="20" t="inlineStr"/>
      <c r="C103" s="20" t="inlineStr">
        <is>
          <t>Portal Rescue</t>
        </is>
      </c>
      <c r="D103" s="20" t="inlineStr">
        <is>
          <t>Mind</t>
        </is>
      </c>
      <c r="E103" s="20" t="inlineStr">
        <is>
          <t>Spell</t>
        </is>
      </c>
      <c r="F103" s="20" t="inlineStr">
        <is>
          <t>3</t>
        </is>
      </c>
      <c r="G103" s="20" t="inlineStr">
        <is>
          <t>0</t>
        </is>
      </c>
      <c r="H103" s="20" t="inlineStr">
        <is>
          <t>Uncommon</t>
        </is>
      </c>
      <c r="I103" s="20" t="inlineStr"/>
      <c r="J103" s="21" t="inlineStr">
        <is>
          <t>ACTION (Play on your turn or in showdowns.)
Banish a friendly unit, then play it to base, ignoring its cost.</t>
        </is>
      </c>
    </row>
    <row r="104" ht="15" customHeight="1">
      <c r="A104" s="54" t="inlineStr">
        <is>
          <t>OGN-103</t>
        </is>
      </c>
      <c r="B104" s="54" t="n">
        <v>3</v>
      </c>
      <c r="C104" s="54" t="inlineStr">
        <is>
          <t>Ravenbloom Student</t>
        </is>
      </c>
      <c r="D104" s="54" t="inlineStr">
        <is>
          <t>Mind</t>
        </is>
      </c>
      <c r="E104" s="54" t="inlineStr">
        <is>
          <t>Unit</t>
        </is>
      </c>
      <c r="F104" s="54" t="inlineStr">
        <is>
          <t>2</t>
        </is>
      </c>
      <c r="G104" s="54" t="inlineStr">
        <is>
          <t>2</t>
        </is>
      </c>
      <c r="H104" s="54" t="inlineStr">
        <is>
          <t>Uncommon</t>
        </is>
      </c>
      <c r="I104" s="54" t="inlineStr">
        <is>
          <t>Noxus</t>
        </is>
      </c>
      <c r="J104" s="7" t="inlineStr">
        <is>
          <t>When you play a spell, give me +1 Might this turn.</t>
        </is>
      </c>
    </row>
    <row r="105" ht="15" customHeight="1">
      <c r="A105" s="20" t="inlineStr">
        <is>
          <t>OGN-104</t>
        </is>
      </c>
      <c r="B105" s="20" t="inlineStr"/>
      <c r="C105" s="20" t="inlineStr">
        <is>
          <t>Retreat</t>
        </is>
      </c>
      <c r="D105" s="20" t="inlineStr">
        <is>
          <t>Mind</t>
        </is>
      </c>
      <c r="E105" s="20" t="inlineStr">
        <is>
          <t>Spell</t>
        </is>
      </c>
      <c r="F105" s="20" t="inlineStr">
        <is>
          <t>1</t>
        </is>
      </c>
      <c r="G105" s="20" t="inlineStr">
        <is>
          <t>0</t>
        </is>
      </c>
      <c r="H105" s="20" t="inlineStr">
        <is>
          <t>Uncommon</t>
        </is>
      </c>
      <c r="I105" s="20" t="inlineStr"/>
      <c r="J105" s="21" t="inlineStr">
        <is>
          <t>REACTION (Play any time, even before spells and abilities resolve.)Return a friendly unit to its owner's hand. Its owner channels 1 rune exhausted.</t>
        </is>
      </c>
    </row>
    <row r="106" ht="15" customHeight="1">
      <c r="A106" s="54" t="inlineStr">
        <is>
          <t>OGN-105</t>
        </is>
      </c>
      <c r="B106" s="54" t="n">
        <v>1</v>
      </c>
      <c r="C106" s="54" t="inlineStr">
        <is>
          <t>Singularity</t>
        </is>
      </c>
      <c r="D106" s="54" t="inlineStr">
        <is>
          <t>Mind</t>
        </is>
      </c>
      <c r="E106" s="54" t="inlineStr">
        <is>
          <t>Spell</t>
        </is>
      </c>
      <c r="F106" s="54" t="inlineStr">
        <is>
          <t>6</t>
        </is>
      </c>
      <c r="G106" s="54" t="inlineStr">
        <is>
          <t>0</t>
        </is>
      </c>
      <c r="H106" s="54" t="inlineStr">
        <is>
          <t>Uncommon</t>
        </is>
      </c>
      <c r="I106" s="54" t="inlineStr"/>
      <c r="J106" s="7" t="inlineStr">
        <is>
          <t>Deal 6 to each of up to two units.</t>
        </is>
      </c>
    </row>
    <row r="107" ht="15" customHeight="1">
      <c r="A107" s="54" t="inlineStr">
        <is>
          <t>OGN-106</t>
        </is>
      </c>
      <c r="B107" s="54" t="n">
        <v>1</v>
      </c>
      <c r="C107" s="54" t="inlineStr">
        <is>
          <t>Sprite Mother</t>
        </is>
      </c>
      <c r="D107" s="54" t="inlineStr">
        <is>
          <t>Mind</t>
        </is>
      </c>
      <c r="E107" s="54" t="inlineStr">
        <is>
          <t>Unit</t>
        </is>
      </c>
      <c r="F107" s="54" t="inlineStr">
        <is>
          <t>4</t>
        </is>
      </c>
      <c r="G107" s="54" t="inlineStr">
        <is>
          <t>3</t>
        </is>
      </c>
      <c r="H107" s="54" t="inlineStr">
        <is>
          <t>Uncommon</t>
        </is>
      </c>
      <c r="I107" s="54" t="inlineStr">
        <is>
          <t>Fae</t>
        </is>
      </c>
      <c r="J107" s="7" t="inlineStr">
        <is>
          <t>When you play me, play a ready 3 Might Sprite unit token with TEMPORARY here. (Kill it at the start of its controller's Beginning Phase, before scoring.)</t>
        </is>
      </c>
    </row>
    <row r="108" ht="15" customHeight="1">
      <c r="A108" s="20" t="inlineStr">
        <is>
          <t>OGN-107</t>
        </is>
      </c>
      <c r="B108" s="20" t="inlineStr"/>
      <c r="C108" s="20" t="inlineStr">
        <is>
          <t>Ava Achiever</t>
        </is>
      </c>
      <c r="D108" s="20" t="inlineStr">
        <is>
          <t>Mind</t>
        </is>
      </c>
      <c r="E108" s="20" t="inlineStr">
        <is>
          <t>Unit</t>
        </is>
      </c>
      <c r="F108" s="20" t="inlineStr">
        <is>
          <t>5</t>
        </is>
      </c>
      <c r="G108" s="20" t="inlineStr">
        <is>
          <t>4</t>
        </is>
      </c>
      <c r="H108" s="20" t="inlineStr">
        <is>
          <t>Rare</t>
        </is>
      </c>
      <c r="I108" s="20" t="inlineStr">
        <is>
          <t>Bandle City;Yordle</t>
        </is>
      </c>
      <c r="J108" s="21" t="inlineStr">
        <is>
          <t>When I attack, you may pay mind to play a card with HIDDEN from your hand here, ignoring its cost.</t>
        </is>
      </c>
    </row>
    <row r="109" ht="15" customHeight="1">
      <c r="A109" s="20" t="inlineStr">
        <is>
          <t>OGN-108</t>
        </is>
      </c>
      <c r="B109" s="20" t="inlineStr"/>
      <c r="C109" s="20" t="inlineStr">
        <is>
          <t>Convergent Mutation</t>
        </is>
      </c>
      <c r="D109" s="20" t="inlineStr">
        <is>
          <t>Mind</t>
        </is>
      </c>
      <c r="E109" s="20" t="inlineStr">
        <is>
          <t>Spell</t>
        </is>
      </c>
      <c r="F109" s="20" t="inlineStr">
        <is>
          <t>2</t>
        </is>
      </c>
      <c r="G109" s="20" t="inlineStr">
        <is>
          <t>0</t>
        </is>
      </c>
      <c r="H109" s="20" t="inlineStr">
        <is>
          <t>Rare</t>
        </is>
      </c>
      <c r="I109" s="20" t="inlineStr"/>
      <c r="J109" s="21" t="inlineStr">
        <is>
          <t>REACTION (Play any time, even before spells and abilities resolve.)
Choose a friendly unit. Increase its Might until it equals the Might of another friendly unit.</t>
        </is>
      </c>
    </row>
    <row r="110" ht="15" customHeight="1">
      <c r="A110" s="20" t="inlineStr">
        <is>
          <t>OGN-109</t>
        </is>
      </c>
      <c r="B110" s="20" t="inlineStr"/>
      <c r="C110" s="20" t="inlineStr">
        <is>
          <t>Dr. Mundo - Expert</t>
        </is>
      </c>
      <c r="D110" s="20" t="inlineStr">
        <is>
          <t>Mind</t>
        </is>
      </c>
      <c r="E110" s="20" t="inlineStr">
        <is>
          <t>Champion Unit</t>
        </is>
      </c>
      <c r="F110" s="20" t="inlineStr">
        <is>
          <t>8</t>
        </is>
      </c>
      <c r="G110" s="20" t="inlineStr">
        <is>
          <t>6</t>
        </is>
      </c>
      <c r="H110" s="20" t="inlineStr">
        <is>
          <t>Rare</t>
        </is>
      </c>
      <c r="I110" s="20" t="inlineStr">
        <is>
          <t>Dr. Mundo;Zaun</t>
        </is>
      </c>
      <c r="J110" s="21" t="inlineStr">
        <is>
          <t>My Might is increased by the number of cards on your trash.At the start of your Beginning Phase, recycle 3 from your trash.</t>
        </is>
      </c>
    </row>
    <row r="111" ht="15" customHeight="1">
      <c r="A111" s="20" t="inlineStr">
        <is>
          <t>OGN-110</t>
        </is>
      </c>
      <c r="B111" s="20" t="inlineStr"/>
      <c r="C111" s="20" t="inlineStr">
        <is>
          <t>Ekko - Recurrent</t>
        </is>
      </c>
      <c r="D111" s="20" t="inlineStr">
        <is>
          <t>Mind</t>
        </is>
      </c>
      <c r="E111" s="20" t="inlineStr">
        <is>
          <t>Champion Unit</t>
        </is>
      </c>
      <c r="F111" s="20" t="inlineStr">
        <is>
          <t>5</t>
        </is>
      </c>
      <c r="G111" s="20" t="inlineStr">
        <is>
          <t>5</t>
        </is>
      </c>
      <c r="H111" s="20" t="inlineStr">
        <is>
          <t>Rare</t>
        </is>
      </c>
      <c r="I111" s="20" t="inlineStr">
        <is>
          <t>Ekko;Zaun</t>
        </is>
      </c>
      <c r="J111" s="21" t="inlineStr">
        <is>
          <t>ACCELERATE (You may pay 1 mind as an additional cost to have me enter ready.)DEATHKNELL - Recycle me to ready your runes. (When I die, get the effect.)</t>
        </is>
      </c>
    </row>
    <row r="112" ht="15" customHeight="1">
      <c r="A112" s="54" t="inlineStr">
        <is>
          <t>OGN-111</t>
        </is>
      </c>
      <c r="B112" s="54" t="n">
        <v>1</v>
      </c>
      <c r="C112" s="54" t="inlineStr">
        <is>
          <t>Heimerdinger - Inventor</t>
        </is>
      </c>
      <c r="D112" s="54" t="inlineStr">
        <is>
          <t>Mind</t>
        </is>
      </c>
      <c r="E112" s="54" t="inlineStr">
        <is>
          <t>Champion Unit</t>
        </is>
      </c>
      <c r="F112" s="54" t="inlineStr">
        <is>
          <t>3</t>
        </is>
      </c>
      <c r="G112" s="54" t="inlineStr">
        <is>
          <t>3</t>
        </is>
      </c>
      <c r="H112" s="54" t="inlineStr">
        <is>
          <t>Rare</t>
        </is>
      </c>
      <c r="I112" s="54" t="inlineStr">
        <is>
          <t>Heimerdinger;Piltover;Yordle</t>
        </is>
      </c>
      <c r="J112" s="7" t="inlineStr">
        <is>
          <t>I have all exhaust abilities of all friendly legends, units and gear.</t>
        </is>
      </c>
    </row>
    <row r="113" ht="15" customHeight="1">
      <c r="A113" s="20" t="inlineStr">
        <is>
          <t>OGN-112</t>
        </is>
      </c>
      <c r="B113" s="20" t="inlineStr"/>
      <c r="C113" s="20" t="inlineStr">
        <is>
          <t>Kai'Sa - Evolutionary</t>
        </is>
      </c>
      <c r="D113" s="20" t="inlineStr">
        <is>
          <t>Mind</t>
        </is>
      </c>
      <c r="E113" s="20" t="inlineStr">
        <is>
          <t>Champion Unit</t>
        </is>
      </c>
      <c r="F113" s="20" t="inlineStr">
        <is>
          <t>6</t>
        </is>
      </c>
      <c r="G113" s="20" t="inlineStr">
        <is>
          <t>6</t>
        </is>
      </c>
      <c r="H113" s="20" t="inlineStr">
        <is>
          <t>Rare</t>
        </is>
      </c>
      <c r="I113" s="20" t="inlineStr">
        <is>
          <t>Kai'Sa;The Void</t>
        </is>
      </c>
      <c r="J113" s="21" t="inlineStr">
        <is>
          <t>GANKING (I can move from battlefield to battlefield.)When I conquer, you may play a spell from your trash with Energy cost less than your points without paying its Energy cost. Then recycle it. (You must still pay its Power cost.)</t>
        </is>
      </c>
    </row>
    <row r="114" ht="15" customHeight="1">
      <c r="A114" s="54" t="inlineStr">
        <is>
          <t>OGN-113</t>
        </is>
      </c>
      <c r="B114" s="54" t="n">
        <v>1</v>
      </c>
      <c r="C114" s="54" t="inlineStr">
        <is>
          <t>Malzahar - Fanatic</t>
        </is>
      </c>
      <c r="D114" s="54" t="inlineStr">
        <is>
          <t>Mind</t>
        </is>
      </c>
      <c r="E114" s="54" t="inlineStr">
        <is>
          <t>Champion Unit</t>
        </is>
      </c>
      <c r="F114" s="54" t="inlineStr">
        <is>
          <t>4</t>
        </is>
      </c>
      <c r="G114" s="54" t="inlineStr">
        <is>
          <t>3</t>
        </is>
      </c>
      <c r="H114" s="54" t="inlineStr">
        <is>
          <t>Rare</t>
        </is>
      </c>
      <c r="I114" s="54" t="inlineStr">
        <is>
          <t>Malzahar;The Void</t>
        </is>
      </c>
      <c r="J114" s="7" t="inlineStr">
        <is>
          <t>Kill a friend unit or gear, exhaust : ACTION - ADD rune rune. (Use on your turn or in showdowns. Abilities that add resources can't be reacted to.)</t>
        </is>
      </c>
    </row>
    <row r="115" ht="15" customHeight="1">
      <c r="A115" s="20" t="inlineStr">
        <is>
          <t>OGN-114</t>
        </is>
      </c>
      <c r="B115" s="20" t="inlineStr"/>
      <c r="C115" s="20" t="inlineStr">
        <is>
          <t>Progress Day</t>
        </is>
      </c>
      <c r="D115" s="20" t="inlineStr">
        <is>
          <t>Mind</t>
        </is>
      </c>
      <c r="E115" s="20" t="inlineStr">
        <is>
          <t>Spell</t>
        </is>
      </c>
      <c r="F115" s="20" t="inlineStr">
        <is>
          <t>6</t>
        </is>
      </c>
      <c r="G115" s="20" t="inlineStr">
        <is>
          <t>0</t>
        </is>
      </c>
      <c r="H115" s="20" t="inlineStr">
        <is>
          <t>Rare</t>
        </is>
      </c>
      <c r="I115" s="20" t="inlineStr"/>
      <c r="J115" s="21" t="inlineStr">
        <is>
          <t>Draw 4.</t>
        </is>
      </c>
    </row>
    <row r="116" ht="15" customHeight="1">
      <c r="A116" s="20" t="inlineStr">
        <is>
          <t>OGN-115</t>
        </is>
      </c>
      <c r="B116" s="20" t="inlineStr"/>
      <c r="C116" s="20" t="inlineStr">
        <is>
          <t>Promising Future</t>
        </is>
      </c>
      <c r="D116" s="20" t="inlineStr">
        <is>
          <t>Mind</t>
        </is>
      </c>
      <c r="E116" s="20" t="inlineStr">
        <is>
          <t>Spell</t>
        </is>
      </c>
      <c r="F116" s="20" t="inlineStr">
        <is>
          <t>5</t>
        </is>
      </c>
      <c r="G116" s="20" t="inlineStr">
        <is>
          <t>0</t>
        </is>
      </c>
      <c r="H116" s="20" t="inlineStr">
        <is>
          <t>Rare</t>
        </is>
      </c>
      <c r="I116" s="20" t="inlineStr"/>
      <c r="J116" s="21" t="inlineStr">
        <is>
          <t>Each player looks at the top 5 cards of their Main Deck, chooses one, then recycles the rest. 
Starting with the next player, each player plays those cards, ignoring Energy costs. (They must still pay Power costs.)</t>
        </is>
      </c>
    </row>
    <row r="117" ht="15" customHeight="1">
      <c r="A117" s="20" t="inlineStr">
        <is>
          <t>OGN-116</t>
        </is>
      </c>
      <c r="B117" s="20" t="inlineStr"/>
      <c r="C117" s="20" t="inlineStr">
        <is>
          <t>Thousand-Tailed Watcher</t>
        </is>
      </c>
      <c r="D117" s="20" t="inlineStr">
        <is>
          <t>Mind</t>
        </is>
      </c>
      <c r="E117" s="20" t="inlineStr">
        <is>
          <t>Unit</t>
        </is>
      </c>
      <c r="F117" s="20" t="inlineStr">
        <is>
          <t>7</t>
        </is>
      </c>
      <c r="G117" s="20" t="inlineStr">
        <is>
          <t>7</t>
        </is>
      </c>
      <c r="H117" s="20" t="inlineStr">
        <is>
          <t>Rare</t>
        </is>
      </c>
      <c r="I117" s="20" t="inlineStr">
        <is>
          <t>Ionia</t>
        </is>
      </c>
      <c r="J117" s="21" t="inlineStr">
        <is>
          <t>ACCELERATE (You may pay 1 mind as an additional cost to have me enter ready.)When you play me, give enemy units -3 Might this turn, to a minimum of 1 Might.</t>
        </is>
      </c>
    </row>
    <row r="118" ht="15" customHeight="1">
      <c r="A118" s="54" t="inlineStr">
        <is>
          <t>OGN-117</t>
        </is>
      </c>
      <c r="B118" s="54" t="n">
        <v>1</v>
      </c>
      <c r="C118" s="54" t="inlineStr">
        <is>
          <t>Viktor - Innovator</t>
        </is>
      </c>
      <c r="D118" s="54" t="inlineStr">
        <is>
          <t>Mind</t>
        </is>
      </c>
      <c r="E118" s="54" t="inlineStr">
        <is>
          <t>Champion Unit</t>
        </is>
      </c>
      <c r="F118" s="54" t="inlineStr">
        <is>
          <t>4</t>
        </is>
      </c>
      <c r="G118" s="54" t="inlineStr">
        <is>
          <t>3</t>
        </is>
      </c>
      <c r="H118" s="54" t="inlineStr">
        <is>
          <t>Rare</t>
        </is>
      </c>
      <c r="I118" s="54" t="inlineStr">
        <is>
          <t>Viktor;Zaun</t>
        </is>
      </c>
      <c r="J118" s="7" t="inlineStr">
        <is>
          <t>When you play a card on an opponent's turn, play a 1 Might Recruit unit token in your base.</t>
        </is>
      </c>
    </row>
    <row r="119" ht="15" customHeight="1">
      <c r="A119" s="54" t="inlineStr">
        <is>
          <t>OGN-118</t>
        </is>
      </c>
      <c r="B119" s="54" t="n">
        <v>1</v>
      </c>
      <c r="C119" s="54" t="inlineStr">
        <is>
          <t>Wraith of Echoes</t>
        </is>
      </c>
      <c r="D119" s="54" t="inlineStr">
        <is>
          <t>Mind</t>
        </is>
      </c>
      <c r="E119" s="54" t="inlineStr">
        <is>
          <t>Unit</t>
        </is>
      </c>
      <c r="F119" s="54" t="inlineStr">
        <is>
          <t>6</t>
        </is>
      </c>
      <c r="G119" s="54" t="inlineStr">
        <is>
          <t>5</t>
        </is>
      </c>
      <c r="H119" s="54" t="inlineStr">
        <is>
          <t>Rare</t>
        </is>
      </c>
      <c r="I119" s="54" t="inlineStr">
        <is>
          <t>Shadow Isles;Spirit</t>
        </is>
      </c>
      <c r="J119" s="7" t="inlineStr">
        <is>
          <t>The first time a friendly unit dies each turn, draw 1.</t>
        </is>
      </c>
    </row>
    <row r="120" ht="15" customHeight="1">
      <c r="A120" s="54" t="inlineStr">
        <is>
          <t>OGN-119</t>
        </is>
      </c>
      <c r="B120" s="54" t="n">
        <v>1</v>
      </c>
      <c r="C120" s="54" t="inlineStr">
        <is>
          <t>Ahri - Inquisitive</t>
        </is>
      </c>
      <c r="D120" s="54" t="inlineStr">
        <is>
          <t>Mind</t>
        </is>
      </c>
      <c r="E120" s="54" t="inlineStr">
        <is>
          <t>Champion Unit</t>
        </is>
      </c>
      <c r="F120" s="54" t="inlineStr">
        <is>
          <t>3</t>
        </is>
      </c>
      <c r="G120" s="54" t="inlineStr">
        <is>
          <t>3</t>
        </is>
      </c>
      <c r="H120" s="54" t="inlineStr">
        <is>
          <t>Epic</t>
        </is>
      </c>
      <c r="I120" s="54" t="inlineStr">
        <is>
          <t>Ahri;Ionia</t>
        </is>
      </c>
      <c r="J120" s="7" t="inlineStr">
        <is>
          <t>When I attack or defend, give an enemy unit here -2 Might this turn, to a minimum of 1 Might.</t>
        </is>
      </c>
    </row>
    <row r="121" ht="15" customHeight="1">
      <c r="A121" s="20" t="inlineStr">
        <is>
          <t>OGN-120</t>
        </is>
      </c>
      <c r="B121" s="20" t="inlineStr"/>
      <c r="C121" s="20" t="inlineStr">
        <is>
          <t>Seal of Insight</t>
        </is>
      </c>
      <c r="D121" s="20" t="inlineStr">
        <is>
          <t>Mind</t>
        </is>
      </c>
      <c r="E121" s="20" t="inlineStr">
        <is>
          <t>Gear</t>
        </is>
      </c>
      <c r="F121" s="20" t="inlineStr">
        <is>
          <t>0</t>
        </is>
      </c>
      <c r="G121" s="20" t="inlineStr">
        <is>
          <t>0</t>
        </is>
      </c>
      <c r="H121" s="20" t="inlineStr">
        <is>
          <t>Epic</t>
        </is>
      </c>
      <c r="I121" s="20" t="inlineStr"/>
      <c r="J121" s="21" t="inlineStr">
        <is>
          <t>Exhaust: REACTION - ADD mind. (Abilities that add resources can't be reacted to.)</t>
        </is>
      </c>
    </row>
    <row r="122" ht="15" customHeight="1">
      <c r="A122" s="20" t="inlineStr">
        <is>
          <t>OGN-121</t>
        </is>
      </c>
      <c r="B122" s="20" t="inlineStr"/>
      <c r="C122" s="20" t="inlineStr">
        <is>
          <t>Teemo - Strategist</t>
        </is>
      </c>
      <c r="D122" s="20" t="inlineStr">
        <is>
          <t>Mind</t>
        </is>
      </c>
      <c r="E122" s="20" t="inlineStr">
        <is>
          <t>Champion Unit</t>
        </is>
      </c>
      <c r="F122" s="20" t="inlineStr">
        <is>
          <t>2</t>
        </is>
      </c>
      <c r="G122" s="20" t="inlineStr">
        <is>
          <t>2</t>
        </is>
      </c>
      <c r="H122" s="20" t="inlineStr">
        <is>
          <t>Epic</t>
        </is>
      </c>
      <c r="I122" s="20" t="inlineStr">
        <is>
          <t>Bandle City;Teemo;Yordle</t>
        </is>
      </c>
      <c r="J122" s="21" t="inlineStr">
        <is>
          <t>HIDDEN (Hide now for 1 Rune to react with later for 0.)
When I defend or I'm played from HIDDEN, reveal the top 5 cards of your Main Deck. Deal 1 to an enemy unit here for each card with , then recycle them.</t>
        </is>
      </c>
    </row>
    <row r="123" ht="15" customHeight="1">
      <c r="A123" s="20" t="inlineStr">
        <is>
          <t>OGN-122</t>
        </is>
      </c>
      <c r="B123" s="20" t="inlineStr"/>
      <c r="C123" s="20" t="inlineStr">
        <is>
          <t>Time Warp</t>
        </is>
      </c>
      <c r="D123" s="20" t="inlineStr">
        <is>
          <t>Mind</t>
        </is>
      </c>
      <c r="E123" s="20" t="inlineStr">
        <is>
          <t>Spell</t>
        </is>
      </c>
      <c r="F123" s="20" t="inlineStr">
        <is>
          <t>10</t>
        </is>
      </c>
      <c r="G123" s="20" t="inlineStr">
        <is>
          <t>0</t>
        </is>
      </c>
      <c r="H123" s="20" t="inlineStr">
        <is>
          <t>Epic</t>
        </is>
      </c>
      <c r="I123" s="20" t="inlineStr"/>
      <c r="J123" s="21" t="inlineStr">
        <is>
          <t>Take a turn after this one. Banish this.</t>
        </is>
      </c>
    </row>
    <row r="124" ht="15" customHeight="1">
      <c r="A124" s="20" t="inlineStr">
        <is>
          <t>OGN-123</t>
        </is>
      </c>
      <c r="B124" s="20" t="inlineStr"/>
      <c r="C124" s="20" t="inlineStr">
        <is>
          <t>Unchecked Power</t>
        </is>
      </c>
      <c r="D124" s="20" t="inlineStr">
        <is>
          <t>Mind</t>
        </is>
      </c>
      <c r="E124" s="20" t="inlineStr">
        <is>
          <t>Spell</t>
        </is>
      </c>
      <c r="F124" s="20" t="inlineStr">
        <is>
          <t>7</t>
        </is>
      </c>
      <c r="G124" s="20" t="inlineStr">
        <is>
          <t>0</t>
        </is>
      </c>
      <c r="H124" s="20" t="inlineStr">
        <is>
          <t>Epic</t>
        </is>
      </c>
      <c r="I124" s="20" t="inlineStr"/>
      <c r="J124" s="21" t="inlineStr">
        <is>
          <t>Exhaust all friendly units, then deal 12 to all units at battlefields.</t>
        </is>
      </c>
    </row>
    <row r="125" ht="15" customHeight="1">
      <c r="A125" s="22" t="inlineStr">
        <is>
          <t>OGN-124</t>
        </is>
      </c>
      <c r="B125" s="22" t="inlineStr"/>
      <c r="C125" s="22" t="inlineStr">
        <is>
          <t>Arena Bar</t>
        </is>
      </c>
      <c r="D125" s="22" t="inlineStr">
        <is>
          <t>Body</t>
        </is>
      </c>
      <c r="E125" s="22" t="inlineStr">
        <is>
          <t>Gear</t>
        </is>
      </c>
      <c r="F125" s="22" t="inlineStr">
        <is>
          <t>3</t>
        </is>
      </c>
      <c r="G125" s="22" t="inlineStr">
        <is>
          <t>0</t>
        </is>
      </c>
      <c r="H125" s="22" t="inlineStr">
        <is>
          <t>Common</t>
        </is>
      </c>
      <c r="I125" s="22" t="inlineStr"/>
      <c r="J125" s="23" t="inlineStr">
        <is>
          <t>Exhaust: Buff an exhausted friendly unit. (If it doesn't have a buff, it gets a +1 Might buff.)</t>
        </is>
      </c>
    </row>
    <row r="126" ht="15" customHeight="1">
      <c r="A126" s="59" t="inlineStr">
        <is>
          <t>OGN-125</t>
        </is>
      </c>
      <c r="B126" s="59" t="n">
        <v>3</v>
      </c>
      <c r="C126" s="59" t="inlineStr">
        <is>
          <t>Bilgewater Bully</t>
        </is>
      </c>
      <c r="D126" s="59" t="inlineStr">
        <is>
          <t>Body</t>
        </is>
      </c>
      <c r="E126" s="59" t="inlineStr">
        <is>
          <t>Unit</t>
        </is>
      </c>
      <c r="F126" s="59" t="inlineStr">
        <is>
          <t>6</t>
        </is>
      </c>
      <c r="G126" s="59" t="inlineStr">
        <is>
          <t>6</t>
        </is>
      </c>
      <c r="H126" s="59" t="inlineStr">
        <is>
          <t>Common</t>
        </is>
      </c>
      <c r="I126" s="59" t="inlineStr">
        <is>
          <t>Bilgewater</t>
        </is>
      </c>
      <c r="J126" s="9" t="inlineStr">
        <is>
          <t>While I'm buffed, I have GANKING. (I can move from battlefield to battlefield.)</t>
        </is>
      </c>
    </row>
    <row r="127" ht="15" customHeight="1">
      <c r="A127" s="22" t="inlineStr">
        <is>
          <t>OGN-126</t>
        </is>
      </c>
      <c r="B127" s="22" t="inlineStr"/>
      <c r="C127" s="22" t="inlineStr">
        <is>
          <t>Body Rune</t>
        </is>
      </c>
      <c r="D127" s="22" t="inlineStr">
        <is>
          <t>Body</t>
        </is>
      </c>
      <c r="E127" s="22" t="inlineStr">
        <is>
          <t>Rune</t>
        </is>
      </c>
      <c r="F127" s="22" t="inlineStr">
        <is>
          <t>0</t>
        </is>
      </c>
      <c r="G127" s="22" t="inlineStr">
        <is>
          <t>0</t>
        </is>
      </c>
      <c r="H127" s="22" t="inlineStr">
        <is>
          <t>Common</t>
        </is>
      </c>
      <c r="I127" s="22" t="inlineStr"/>
      <c r="J127" s="23" t="inlineStr"/>
    </row>
    <row r="128" ht="15" customHeight="1">
      <c r="A128" s="22" t="inlineStr">
        <is>
          <t>OGN-127</t>
        </is>
      </c>
      <c r="B128" s="22" t="inlineStr"/>
      <c r="C128" s="22" t="inlineStr">
        <is>
          <t>Cannon Barrage</t>
        </is>
      </c>
      <c r="D128" s="22" t="inlineStr">
        <is>
          <t>Body</t>
        </is>
      </c>
      <c r="E128" s="22" t="inlineStr">
        <is>
          <t>Spell</t>
        </is>
      </c>
      <c r="F128" s="22" t="inlineStr">
        <is>
          <t>2</t>
        </is>
      </c>
      <c r="G128" s="22" t="inlineStr">
        <is>
          <t>0</t>
        </is>
      </c>
      <c r="H128" s="22" t="inlineStr">
        <is>
          <t>Common</t>
        </is>
      </c>
      <c r="I128" s="22" t="inlineStr"/>
      <c r="J128" s="23" t="inlineStr">
        <is>
          <t>REACTION (Play any time, even before spells and abilities resolve.)
Deal 2 to all enemy units in combat.</t>
        </is>
      </c>
    </row>
    <row r="129" ht="15" customHeight="1">
      <c r="A129" s="59" t="inlineStr">
        <is>
          <t>OGN-128</t>
        </is>
      </c>
      <c r="B129" s="59" t="n">
        <v>3</v>
      </c>
      <c r="C129" s="59" t="inlineStr">
        <is>
          <t>Challenge</t>
        </is>
      </c>
      <c r="D129" s="59" t="inlineStr">
        <is>
          <t>Body</t>
        </is>
      </c>
      <c r="E129" s="59" t="inlineStr">
        <is>
          <t>Spell</t>
        </is>
      </c>
      <c r="F129" s="59" t="inlineStr">
        <is>
          <t>2</t>
        </is>
      </c>
      <c r="G129" s="59" t="inlineStr">
        <is>
          <t>0</t>
        </is>
      </c>
      <c r="H129" s="59" t="inlineStr">
        <is>
          <t>Common</t>
        </is>
      </c>
      <c r="I129" s="59" t="inlineStr"/>
      <c r="J129" s="9" t="inlineStr">
        <is>
          <t>ACTION (Play on your turn or in showdowns.)Choose a friendly unit and an enemy unit. They deal damage equal to their Mights to each other.</t>
        </is>
      </c>
    </row>
    <row r="130" ht="15" customHeight="1">
      <c r="A130" s="59" t="inlineStr">
        <is>
          <t>OGN-129</t>
        </is>
      </c>
      <c r="B130" s="59" t="n">
        <v>3</v>
      </c>
      <c r="C130" s="59" t="inlineStr">
        <is>
          <t>Confront</t>
        </is>
      </c>
      <c r="D130" s="59" t="inlineStr">
        <is>
          <t>Body</t>
        </is>
      </c>
      <c r="E130" s="59" t="inlineStr">
        <is>
          <t>Spell</t>
        </is>
      </c>
      <c r="F130" s="59" t="inlineStr">
        <is>
          <t>2</t>
        </is>
      </c>
      <c r="G130" s="59" t="inlineStr">
        <is>
          <t>0</t>
        </is>
      </c>
      <c r="H130" s="59" t="inlineStr">
        <is>
          <t>Common</t>
        </is>
      </c>
      <c r="I130" s="59" t="inlineStr"/>
      <c r="J130" s="9" t="inlineStr">
        <is>
          <t>ACTION (Play on your turn or in showdowns.)
Units you play this turn enter ready.
Draw 1.</t>
        </is>
      </c>
    </row>
    <row r="131" ht="15" customHeight="1">
      <c r="A131" s="22" t="inlineStr">
        <is>
          <t>OGN-130</t>
        </is>
      </c>
      <c r="B131" s="22" t="inlineStr"/>
      <c r="C131" s="22" t="inlineStr">
        <is>
          <t>Crackshot Corsair</t>
        </is>
      </c>
      <c r="D131" s="22" t="inlineStr">
        <is>
          <t>Body</t>
        </is>
      </c>
      <c r="E131" s="22" t="inlineStr">
        <is>
          <t>Unit</t>
        </is>
      </c>
      <c r="F131" s="22" t="inlineStr">
        <is>
          <t>3</t>
        </is>
      </c>
      <c r="G131" s="22" t="inlineStr">
        <is>
          <t>3</t>
        </is>
      </c>
      <c r="H131" s="22" t="inlineStr">
        <is>
          <t>Common</t>
        </is>
      </c>
      <c r="I131" s="22" t="inlineStr">
        <is>
          <t>Bilgewater;Pirate</t>
        </is>
      </c>
      <c r="J131" s="23" t="inlineStr">
        <is>
          <t>When I attack, deal 1 to an enemy unit here.</t>
        </is>
      </c>
    </row>
    <row r="132" ht="15" customHeight="1">
      <c r="A132" s="59" t="inlineStr">
        <is>
          <t>OGN-131</t>
        </is>
      </c>
      <c r="B132" s="59" t="n">
        <v>3</v>
      </c>
      <c r="C132" s="59" t="inlineStr">
        <is>
          <t>Dune Drake</t>
        </is>
      </c>
      <c r="D132" s="59" t="inlineStr">
        <is>
          <t>Body</t>
        </is>
      </c>
      <c r="E132" s="59" t="inlineStr">
        <is>
          <t>Unit</t>
        </is>
      </c>
      <c r="F132" s="59" t="inlineStr">
        <is>
          <t>5</t>
        </is>
      </c>
      <c r="G132" s="59" t="inlineStr">
        <is>
          <t>5</t>
        </is>
      </c>
      <c r="H132" s="59" t="inlineStr">
        <is>
          <t>Common</t>
        </is>
      </c>
      <c r="I132" s="59" t="inlineStr">
        <is>
          <t>Dragon;Shurima</t>
        </is>
      </c>
      <c r="J132" s="9" t="inlineStr">
        <is>
          <t>When I attack, give me +2 Might if there is a ready enemy unit here.</t>
        </is>
      </c>
    </row>
    <row r="133" ht="15" customHeight="1">
      <c r="A133" s="59" t="inlineStr">
        <is>
          <t>OGN-132</t>
        </is>
      </c>
      <c r="B133" s="59" t="n">
        <v>3</v>
      </c>
      <c r="C133" s="59" t="inlineStr">
        <is>
          <t>First Mate</t>
        </is>
      </c>
      <c r="D133" s="59" t="inlineStr">
        <is>
          <t>Body</t>
        </is>
      </c>
      <c r="E133" s="59" t="inlineStr">
        <is>
          <t>Unit</t>
        </is>
      </c>
      <c r="F133" s="59" t="inlineStr">
        <is>
          <t>3</t>
        </is>
      </c>
      <c r="G133" s="59" t="inlineStr">
        <is>
          <t>3</t>
        </is>
      </c>
      <c r="H133" s="59" t="inlineStr">
        <is>
          <t>Common</t>
        </is>
      </c>
      <c r="I133" s="59" t="inlineStr">
        <is>
          <t>Bilgewater;Pirate</t>
        </is>
      </c>
      <c r="J133" s="9" t="inlineStr">
        <is>
          <t>When you play me, ready another unit.</t>
        </is>
      </c>
    </row>
    <row r="134" ht="15" customHeight="1">
      <c r="A134" s="22" t="inlineStr">
        <is>
          <t>OGN-133</t>
        </is>
      </c>
      <c r="B134" s="22" t="inlineStr"/>
      <c r="C134" s="22" t="inlineStr">
        <is>
          <t>Flurry of Blades</t>
        </is>
      </c>
      <c r="D134" s="22" t="inlineStr">
        <is>
          <t>Body</t>
        </is>
      </c>
      <c r="E134" s="22" t="inlineStr">
        <is>
          <t>Spell</t>
        </is>
      </c>
      <c r="F134" s="22" t="inlineStr">
        <is>
          <t>1</t>
        </is>
      </c>
      <c r="G134" s="22" t="inlineStr">
        <is>
          <t>0</t>
        </is>
      </c>
      <c r="H134" s="22" t="inlineStr">
        <is>
          <t>Common</t>
        </is>
      </c>
      <c r="I134" s="22" t="inlineStr"/>
      <c r="J134" s="23" t="inlineStr">
        <is>
          <t>REACTION (Play any time, even before spells and abilities resolve.)Deal 1 to all units at battlefields.</t>
        </is>
      </c>
    </row>
    <row r="135" ht="15" customHeight="1">
      <c r="A135" s="59" t="inlineStr">
        <is>
          <t>OGN-134</t>
        </is>
      </c>
      <c r="B135" s="59" t="n">
        <v>3</v>
      </c>
      <c r="C135" s="59" t="inlineStr">
        <is>
          <t>Mobilize</t>
        </is>
      </c>
      <c r="D135" s="59" t="inlineStr">
        <is>
          <t>Body</t>
        </is>
      </c>
      <c r="E135" s="59" t="inlineStr">
        <is>
          <t>Spell</t>
        </is>
      </c>
      <c r="F135" s="59" t="inlineStr">
        <is>
          <t>2</t>
        </is>
      </c>
      <c r="G135" s="59" t="inlineStr">
        <is>
          <t>0</t>
        </is>
      </c>
      <c r="H135" s="59" t="inlineStr">
        <is>
          <t>Common</t>
        </is>
      </c>
      <c r="I135" s="59" t="inlineStr"/>
      <c r="J135" s="9" t="inlineStr">
        <is>
          <t>Channel 1 rune exhausted. If you can't, draw 1.</t>
        </is>
      </c>
    </row>
    <row r="136" ht="15" customHeight="1">
      <c r="A136" s="59" t="inlineStr">
        <is>
          <t>OGN-135</t>
        </is>
      </c>
      <c r="B136" s="59" t="n">
        <v>2</v>
      </c>
      <c r="C136" s="59" t="inlineStr">
        <is>
          <t>Pakaa Cub</t>
        </is>
      </c>
      <c r="D136" s="59" t="inlineStr">
        <is>
          <t>Body</t>
        </is>
      </c>
      <c r="E136" s="59" t="inlineStr">
        <is>
          <t>Unit</t>
        </is>
      </c>
      <c r="F136" s="59" t="inlineStr">
        <is>
          <t>3</t>
        </is>
      </c>
      <c r="G136" s="59" t="inlineStr">
        <is>
          <t>3</t>
        </is>
      </c>
      <c r="H136" s="59" t="inlineStr">
        <is>
          <t>Common</t>
        </is>
      </c>
      <c r="I136" s="59" t="inlineStr">
        <is>
          <t>Cat;Ixtal</t>
        </is>
      </c>
      <c r="J136" s="9" t="inlineStr">
        <is>
          <t>HIDDEN (Hide now for 1 Rune to react with later for 0.)</t>
        </is>
      </c>
    </row>
    <row r="137" ht="15" customHeight="1">
      <c r="A137" s="59" t="inlineStr">
        <is>
          <t>OGN-136</t>
        </is>
      </c>
      <c r="B137" s="59" t="n">
        <v>3</v>
      </c>
      <c r="C137" s="59" t="inlineStr">
        <is>
          <t>Pit Rookie</t>
        </is>
      </c>
      <c r="D137" s="59" t="inlineStr">
        <is>
          <t>Body</t>
        </is>
      </c>
      <c r="E137" s="59" t="inlineStr">
        <is>
          <t>Unit</t>
        </is>
      </c>
      <c r="F137" s="59" t="inlineStr">
        <is>
          <t>2</t>
        </is>
      </c>
      <c r="G137" s="59" t="inlineStr">
        <is>
          <t>2</t>
        </is>
      </c>
      <c r="H137" s="59" t="inlineStr">
        <is>
          <t>Common</t>
        </is>
      </c>
      <c r="I137" s="59" t="inlineStr">
        <is>
          <t>Bilgewater</t>
        </is>
      </c>
      <c r="J137" s="9" t="inlineStr">
        <is>
          <t>When you play me, buff another friendly unit. (If it doesn't have a buff, it gets +1 Might buff.)</t>
        </is>
      </c>
    </row>
    <row r="138" ht="15" customHeight="1">
      <c r="A138" s="59" t="inlineStr">
        <is>
          <t>OGN-137</t>
        </is>
      </c>
      <c r="B138" s="59" t="n">
        <v>3</v>
      </c>
      <c r="C138" s="59" t="inlineStr">
        <is>
          <t>Stormclaw Ursine</t>
        </is>
      </c>
      <c r="D138" s="59" t="inlineStr">
        <is>
          <t>Body</t>
        </is>
      </c>
      <c r="E138" s="59" t="inlineStr">
        <is>
          <t>Unit</t>
        </is>
      </c>
      <c r="F138" s="59" t="inlineStr">
        <is>
          <t>7</t>
        </is>
      </c>
      <c r="G138" s="59" t="inlineStr">
        <is>
          <t>6</t>
        </is>
      </c>
      <c r="H138" s="59" t="inlineStr">
        <is>
          <t>Common</t>
        </is>
      </c>
      <c r="I138" s="59" t="inlineStr">
        <is>
          <t>Freljord</t>
        </is>
      </c>
      <c r="J138" s="9" t="inlineStr">
        <is>
          <t>TANK (I must be assigned combat damage first.)
When you play me, channel 1 rune exhausted.</t>
        </is>
      </c>
    </row>
    <row r="139" ht="15" customHeight="1">
      <c r="A139" s="59" t="inlineStr">
        <is>
          <t>OGN-138</t>
        </is>
      </c>
      <c r="B139" s="59" t="n">
        <v>3</v>
      </c>
      <c r="C139" s="59" t="inlineStr">
        <is>
          <t>Catalyst of Aeons</t>
        </is>
      </c>
      <c r="D139" s="59" t="inlineStr">
        <is>
          <t>Body</t>
        </is>
      </c>
      <c r="E139" s="59" t="inlineStr">
        <is>
          <t>Spell</t>
        </is>
      </c>
      <c r="F139" s="59" t="inlineStr">
        <is>
          <t>4</t>
        </is>
      </c>
      <c r="G139" s="59" t="inlineStr">
        <is>
          <t>0</t>
        </is>
      </c>
      <c r="H139" s="59" t="inlineStr">
        <is>
          <t>Uncommon</t>
        </is>
      </c>
      <c r="I139" s="59" t="inlineStr"/>
      <c r="J139" s="9" t="inlineStr">
        <is>
          <t>Channel 2 runes exhausted. If you couldn't channel 2 runes this way, draw 1.</t>
        </is>
      </c>
    </row>
    <row r="140" ht="15" customHeight="1">
      <c r="A140" s="22" t="inlineStr">
        <is>
          <t>OGN-139</t>
        </is>
      </c>
      <c r="B140" s="22" t="inlineStr"/>
      <c r="C140" s="22" t="inlineStr">
        <is>
          <t>Cithria of Cloudfield</t>
        </is>
      </c>
      <c r="D140" s="22" t="inlineStr">
        <is>
          <t>Body</t>
        </is>
      </c>
      <c r="E140" s="22" t="inlineStr">
        <is>
          <t>Unit</t>
        </is>
      </c>
      <c r="F140" s="22" t="inlineStr">
        <is>
          <t>2</t>
        </is>
      </c>
      <c r="G140" s="22" t="inlineStr">
        <is>
          <t>1</t>
        </is>
      </c>
      <c r="H140" s="22" t="inlineStr">
        <is>
          <t>Uncommon</t>
        </is>
      </c>
      <c r="I140" s="22" t="inlineStr">
        <is>
          <t>Demacia;Elite</t>
        </is>
      </c>
      <c r="J140" s="23" t="inlineStr">
        <is>
          <t>When you play another unit, buff me. (If I don't have a buff, I get a +1 Might buff.)</t>
        </is>
      </c>
    </row>
    <row r="141" ht="15" customHeight="1">
      <c r="A141" s="59" t="inlineStr">
        <is>
          <t>OGN-140</t>
        </is>
      </c>
      <c r="B141" s="59" t="n">
        <v>3</v>
      </c>
      <c r="C141" s="59" t="inlineStr">
        <is>
          <t>Herald of Scales</t>
        </is>
      </c>
      <c r="D141" s="59" t="inlineStr">
        <is>
          <t>Body</t>
        </is>
      </c>
      <c r="E141" s="59" t="inlineStr">
        <is>
          <t>Unit</t>
        </is>
      </c>
      <c r="F141" s="59" t="inlineStr">
        <is>
          <t>4</t>
        </is>
      </c>
      <c r="G141" s="59" t="inlineStr">
        <is>
          <t>3</t>
        </is>
      </c>
      <c r="H141" s="59" t="inlineStr">
        <is>
          <t>Uncommon</t>
        </is>
      </c>
      <c r="I141" s="59" t="inlineStr">
        <is>
          <t>Mount Targon</t>
        </is>
      </c>
      <c r="J141" s="9" t="inlineStr">
        <is>
          <t>Your Dragons' Energy costs are reduced by 2, to a minimum of 1.</t>
        </is>
      </c>
    </row>
    <row r="142" ht="15" customHeight="1">
      <c r="A142" s="22" t="inlineStr">
        <is>
          <t>OGN-141</t>
        </is>
      </c>
      <c r="B142" s="22" t="inlineStr"/>
      <c r="C142" s="22" t="inlineStr">
        <is>
          <t>Kinkou Monk</t>
        </is>
      </c>
      <c r="D142" s="22" t="inlineStr">
        <is>
          <t>Body</t>
        </is>
      </c>
      <c r="E142" s="22" t="inlineStr">
        <is>
          <t>Unit</t>
        </is>
      </c>
      <c r="F142" s="22" t="inlineStr">
        <is>
          <t>4</t>
        </is>
      </c>
      <c r="G142" s="22" t="inlineStr">
        <is>
          <t>4</t>
        </is>
      </c>
      <c r="H142" s="22" t="inlineStr">
        <is>
          <t>Uncommon</t>
        </is>
      </c>
      <c r="I142" s="22" t="inlineStr">
        <is>
          <t>Ionia</t>
        </is>
      </c>
      <c r="J142" s="23" t="inlineStr">
        <is>
          <t>When you play me, buff two other friendly units. (Each one that doesn't have a buff gets a +1 Might buff.)</t>
        </is>
      </c>
    </row>
    <row r="143" ht="15" customHeight="1">
      <c r="A143" s="59" t="inlineStr">
        <is>
          <t>OGN-142</t>
        </is>
      </c>
      <c r="B143" s="59" t="n">
        <v>3</v>
      </c>
      <c r="C143" s="59" t="inlineStr">
        <is>
          <t>Mountain Drake</t>
        </is>
      </c>
      <c r="D143" s="59" t="inlineStr">
        <is>
          <t>Body</t>
        </is>
      </c>
      <c r="E143" s="59" t="inlineStr">
        <is>
          <t>Unit</t>
        </is>
      </c>
      <c r="F143" s="59" t="inlineStr">
        <is>
          <t>9</t>
        </is>
      </c>
      <c r="G143" s="59" t="inlineStr">
        <is>
          <t>10</t>
        </is>
      </c>
      <c r="H143" s="59" t="inlineStr">
        <is>
          <t>Uncommon</t>
        </is>
      </c>
      <c r="I143" s="59" t="inlineStr">
        <is>
          <t>Dragon</t>
        </is>
      </c>
      <c r="J143" s="9" t="inlineStr"/>
    </row>
    <row r="144" ht="15" customHeight="1">
      <c r="A144" s="22" t="inlineStr">
        <is>
          <t>OGN-143</t>
        </is>
      </c>
      <c r="B144" s="22" t="inlineStr"/>
      <c r="C144" s="22" t="inlineStr">
        <is>
          <t>Pirate's Haven</t>
        </is>
      </c>
      <c r="D144" s="22" t="inlineStr">
        <is>
          <t>Body</t>
        </is>
      </c>
      <c r="E144" s="22" t="inlineStr">
        <is>
          <t>Gear</t>
        </is>
      </c>
      <c r="F144" s="22" t="inlineStr">
        <is>
          <t>3</t>
        </is>
      </c>
      <c r="G144" s="22" t="inlineStr">
        <is>
          <t>0</t>
        </is>
      </c>
      <c r="H144" s="22" t="inlineStr">
        <is>
          <t>Uncommon</t>
        </is>
      </c>
      <c r="I144" s="22" t="inlineStr"/>
      <c r="J144" s="23" t="inlineStr">
        <is>
          <t>When you ready a friendly unit, give it +1 Might this turn.</t>
        </is>
      </c>
    </row>
    <row r="145" ht="15" customHeight="1">
      <c r="A145" s="59" t="inlineStr">
        <is>
          <t>OGN-144</t>
        </is>
      </c>
      <c r="B145" s="59" t="n">
        <v>1</v>
      </c>
      <c r="C145" s="59" t="inlineStr">
        <is>
          <t>Spoils of War</t>
        </is>
      </c>
      <c r="D145" s="59" t="inlineStr">
        <is>
          <t>Body</t>
        </is>
      </c>
      <c r="E145" s="59" t="inlineStr">
        <is>
          <t>Spell</t>
        </is>
      </c>
      <c r="F145" s="59" t="inlineStr">
        <is>
          <t>4</t>
        </is>
      </c>
      <c r="G145" s="59" t="inlineStr">
        <is>
          <t>0</t>
        </is>
      </c>
      <c r="H145" s="59" t="inlineStr">
        <is>
          <t>Uncommon</t>
        </is>
      </c>
      <c r="I145" s="59" t="inlineStr"/>
      <c r="J145" s="9" t="inlineStr">
        <is>
          <t>REACTION (Play any time, even before spells and abilities resolve.)
If an enemy unit has died this turn, this costs 2 less.
Draw 2.</t>
        </is>
      </c>
    </row>
    <row r="146" ht="15" customHeight="1">
      <c r="A146" s="59" t="inlineStr">
        <is>
          <t>OGN-145</t>
        </is>
      </c>
      <c r="B146" s="59" t="n">
        <v>3</v>
      </c>
      <c r="C146" s="59" t="inlineStr">
        <is>
          <t>Unyielding Spirit</t>
        </is>
      </c>
      <c r="D146" s="59" t="inlineStr">
        <is>
          <t>Body</t>
        </is>
      </c>
      <c r="E146" s="59" t="inlineStr">
        <is>
          <t>Spell</t>
        </is>
      </c>
      <c r="F146" s="59" t="inlineStr">
        <is>
          <t>1</t>
        </is>
      </c>
      <c r="G146" s="59" t="inlineStr">
        <is>
          <t>0</t>
        </is>
      </c>
      <c r="H146" s="59" t="inlineStr">
        <is>
          <t>Uncommon</t>
        </is>
      </c>
      <c r="I146" s="59" t="inlineStr"/>
      <c r="J146" s="9" t="inlineStr">
        <is>
          <t>REACTION (Play at any time, even before spells and abilities resolve.)Prevent all spell and ability damage this turn.</t>
        </is>
      </c>
    </row>
    <row r="147" ht="15" customHeight="1">
      <c r="A147" s="59" t="inlineStr">
        <is>
          <t>OGN-146</t>
        </is>
      </c>
      <c r="B147" s="59" t="n">
        <v>2</v>
      </c>
      <c r="C147" s="59" t="inlineStr">
        <is>
          <t>Wallop</t>
        </is>
      </c>
      <c r="D147" s="59" t="inlineStr">
        <is>
          <t>Body</t>
        </is>
      </c>
      <c r="E147" s="59" t="inlineStr">
        <is>
          <t>Spell</t>
        </is>
      </c>
      <c r="F147" s="59" t="inlineStr">
        <is>
          <t>2</t>
        </is>
      </c>
      <c r="G147" s="59" t="inlineStr">
        <is>
          <t>0</t>
        </is>
      </c>
      <c r="H147" s="59" t="inlineStr">
        <is>
          <t>Uncommon</t>
        </is>
      </c>
      <c r="I147" s="59" t="inlineStr"/>
      <c r="J147" s="9" t="inlineStr">
        <is>
          <t>ACTION (Play on your turn or in showdowns.)
As you play this, you may spend a buff as an additional cost. If you do, ignore this spell's cost. Ready a unit.</t>
        </is>
      </c>
    </row>
    <row r="148" ht="15" customHeight="1">
      <c r="A148" s="59" t="inlineStr">
        <is>
          <t>OGN-147</t>
        </is>
      </c>
      <c r="B148" s="59" t="n">
        <v>3</v>
      </c>
      <c r="C148" s="59" t="inlineStr">
        <is>
          <t>Wildclaw Shaman</t>
        </is>
      </c>
      <c r="D148" s="59" t="inlineStr">
        <is>
          <t>Body</t>
        </is>
      </c>
      <c r="E148" s="59" t="inlineStr">
        <is>
          <t>Unit</t>
        </is>
      </c>
      <c r="F148" s="59" t="inlineStr">
        <is>
          <t>4</t>
        </is>
      </c>
      <c r="G148" s="59" t="inlineStr">
        <is>
          <t>3</t>
        </is>
      </c>
      <c r="H148" s="59" t="inlineStr">
        <is>
          <t>Uncommon</t>
        </is>
      </c>
      <c r="I148" s="59" t="inlineStr">
        <is>
          <t>Freljord</t>
        </is>
      </c>
      <c r="J148" s="9" t="inlineStr">
        <is>
          <t>When you play me, you may spend a buff to buff me and ready me. (If I don't have a buff, I get a +1 Might buff.)</t>
        </is>
      </c>
    </row>
    <row r="149" ht="15" customHeight="1">
      <c r="A149" s="59" t="inlineStr">
        <is>
          <t>OGN-148</t>
        </is>
      </c>
      <c r="B149" s="59" t="n">
        <v>3</v>
      </c>
      <c r="C149" s="59" t="inlineStr">
        <is>
          <t>Anivia - Primal</t>
        </is>
      </c>
      <c r="D149" s="59" t="inlineStr">
        <is>
          <t>Body</t>
        </is>
      </c>
      <c r="E149" s="59" t="inlineStr">
        <is>
          <t>Champion Unit</t>
        </is>
      </c>
      <c r="F149" s="59" t="inlineStr">
        <is>
          <t>7</t>
        </is>
      </c>
      <c r="G149" s="59" t="inlineStr">
        <is>
          <t>8</t>
        </is>
      </c>
      <c r="H149" s="59" t="inlineStr">
        <is>
          <t>Rare</t>
        </is>
      </c>
      <c r="I149" s="59" t="inlineStr">
        <is>
          <t>Bird;Anivia;Freljord</t>
        </is>
      </c>
      <c r="J149" s="9" t="inlineStr">
        <is>
          <t>When I attack, deal 3 to all enemy units here.</t>
        </is>
      </c>
    </row>
    <row r="150" ht="15" customHeight="1">
      <c r="A150" s="59" t="inlineStr">
        <is>
          <t>OGN-149</t>
        </is>
      </c>
      <c r="B150" s="59" t="n">
        <v>1</v>
      </c>
      <c r="C150" s="59" t="inlineStr">
        <is>
          <t>Carnivorous Snapvine</t>
        </is>
      </c>
      <c r="D150" s="59" t="inlineStr">
        <is>
          <t>Body</t>
        </is>
      </c>
      <c r="E150" s="59" t="inlineStr">
        <is>
          <t>Unit</t>
        </is>
      </c>
      <c r="F150" s="59" t="inlineStr">
        <is>
          <t>5</t>
        </is>
      </c>
      <c r="G150" s="59" t="inlineStr">
        <is>
          <t>6</t>
        </is>
      </c>
      <c r="H150" s="59" t="inlineStr">
        <is>
          <t>Rare</t>
        </is>
      </c>
      <c r="I150" s="59" t="inlineStr">
        <is>
          <t>Shadow Isles</t>
        </is>
      </c>
      <c r="J150" s="9" t="inlineStr">
        <is>
          <t>When you play me, choose an enemy unit at a battlefield. We deal damage equal to our Mights to each other.</t>
        </is>
      </c>
    </row>
    <row r="151" ht="15" customHeight="1">
      <c r="A151" s="22" t="inlineStr">
        <is>
          <t>OGN-150</t>
        </is>
      </c>
      <c r="B151" s="22" t="inlineStr"/>
      <c r="C151" s="22" t="inlineStr">
        <is>
          <t>Kraken Hunter</t>
        </is>
      </c>
      <c r="D151" s="22" t="inlineStr">
        <is>
          <t>Body</t>
        </is>
      </c>
      <c r="E151" s="22" t="inlineStr">
        <is>
          <t>Unit</t>
        </is>
      </c>
      <c r="F151" s="22" t="inlineStr">
        <is>
          <t>3</t>
        </is>
      </c>
      <c r="G151" s="22" t="inlineStr">
        <is>
          <t>5</t>
        </is>
      </c>
      <c r="H151" s="22" t="inlineStr">
        <is>
          <t>Rare</t>
        </is>
      </c>
      <c r="I151" s="22" t="inlineStr">
        <is>
          <t>Bilgewater;Pirate</t>
        </is>
      </c>
      <c r="J151" s="23" t="inlineStr">
        <is>
          <t>ACCELERATE (You may pay 1 body as an additional cost to have me enter ready.)
ASSAULT (+1 Might while i'm an attacker.)
As you play me, you may spend any number of buffs as an additional cost. Reduce my cost by body for each buff you spend.</t>
        </is>
      </c>
    </row>
    <row r="152" ht="15" customHeight="1">
      <c r="A152" s="59" t="inlineStr">
        <is>
          <t>OGN-151</t>
        </is>
      </c>
      <c r="B152" s="59" t="n">
        <v>1</v>
      </c>
      <c r="C152" s="59" t="inlineStr">
        <is>
          <t>Lee Sin - Centered</t>
        </is>
      </c>
      <c r="D152" s="59" t="inlineStr">
        <is>
          <t>Body</t>
        </is>
      </c>
      <c r="E152" s="59" t="inlineStr">
        <is>
          <t>Champion Unit</t>
        </is>
      </c>
      <c r="F152" s="59" t="inlineStr">
        <is>
          <t>6</t>
        </is>
      </c>
      <c r="G152" s="59" t="inlineStr">
        <is>
          <t>6</t>
        </is>
      </c>
      <c r="H152" s="59" t="inlineStr">
        <is>
          <t>Rare</t>
        </is>
      </c>
      <c r="I152" s="59" t="inlineStr">
        <is>
          <t>Ionia;Lee Sin</t>
        </is>
      </c>
      <c r="J152" s="9" t="inlineStr">
        <is>
          <t>ACCELERATE (You may pay 1 body as an additional cost to have me enter ready.)Other buffed friendly units at my battlefield have +2 Might.</t>
        </is>
      </c>
    </row>
    <row r="153" ht="15" customHeight="1">
      <c r="A153" s="59" t="inlineStr">
        <is>
          <t>OGN-152</t>
        </is>
      </c>
      <c r="B153" s="59" t="n">
        <v>1</v>
      </c>
      <c r="C153" s="59" t="inlineStr">
        <is>
          <t>Mistfall</t>
        </is>
      </c>
      <c r="D153" s="59" t="inlineStr">
        <is>
          <t>Body</t>
        </is>
      </c>
      <c r="E153" s="59" t="inlineStr">
        <is>
          <t>Gear</t>
        </is>
      </c>
      <c r="F153" s="59" t="inlineStr">
        <is>
          <t>3</t>
        </is>
      </c>
      <c r="G153" s="59" t="inlineStr">
        <is>
          <t>0</t>
        </is>
      </c>
      <c r="H153" s="59" t="inlineStr">
        <is>
          <t>Rare</t>
        </is>
      </c>
      <c r="I153" s="59" t="inlineStr"/>
      <c r="J153" s="9" t="inlineStr">
        <is>
          <t>When you buff a friendly unit, you may pay body and exhaust this to ready it.</t>
        </is>
      </c>
    </row>
    <row r="154" ht="15" customHeight="1">
      <c r="A154" s="59" t="inlineStr">
        <is>
          <t>OGN-153</t>
        </is>
      </c>
      <c r="B154" s="59" t="n">
        <v>3</v>
      </c>
      <c r="C154" s="59" t="inlineStr">
        <is>
          <t>Overt Operation</t>
        </is>
      </c>
      <c r="D154" s="59" t="inlineStr">
        <is>
          <t>Body</t>
        </is>
      </c>
      <c r="E154" s="59" t="inlineStr">
        <is>
          <t>Spell</t>
        </is>
      </c>
      <c r="F154" s="59" t="inlineStr">
        <is>
          <t>5</t>
        </is>
      </c>
      <c r="G154" s="59" t="inlineStr">
        <is>
          <t>0</t>
        </is>
      </c>
      <c r="H154" s="59" t="inlineStr">
        <is>
          <t>Rare</t>
        </is>
      </c>
      <c r="I154" s="59" t="inlineStr"/>
      <c r="J154" s="9" t="inlineStr">
        <is>
          <t>ACTION (play on your turn or in showdowns.)
For each friendly unit, you may spend its buff to ready it. Then buff all friendly units. (Each one that doesn't have a buff gets a +1 Might buff.)</t>
        </is>
      </c>
    </row>
    <row r="155" ht="15" customHeight="1">
      <c r="A155" s="59" t="inlineStr">
        <is>
          <t>OGN-154</t>
        </is>
      </c>
      <c r="B155" s="59" t="n">
        <v>1</v>
      </c>
      <c r="C155" s="59" t="inlineStr">
        <is>
          <t>Primal Strength</t>
        </is>
      </c>
      <c r="D155" s="59" t="inlineStr">
        <is>
          <t>Body</t>
        </is>
      </c>
      <c r="E155" s="59" t="inlineStr">
        <is>
          <t>Spell</t>
        </is>
      </c>
      <c r="F155" s="59" t="inlineStr">
        <is>
          <t>4</t>
        </is>
      </c>
      <c r="G155" s="59" t="inlineStr">
        <is>
          <t>0</t>
        </is>
      </c>
      <c r="H155" s="59" t="inlineStr">
        <is>
          <t>Rare</t>
        </is>
      </c>
      <c r="I155" s="59" t="inlineStr"/>
      <c r="J155" s="9" t="inlineStr">
        <is>
          <t>ACTION (Play on your turn or in showdowns.)
Give a unit +7 Might this turn.</t>
        </is>
      </c>
    </row>
    <row r="156" ht="15" customHeight="1">
      <c r="A156" s="22" t="inlineStr">
        <is>
          <t>OGN-155</t>
        </is>
      </c>
      <c r="B156" s="22" t="inlineStr"/>
      <c r="C156" s="22" t="inlineStr">
        <is>
          <t>Qiyana - Victorious</t>
        </is>
      </c>
      <c r="D156" s="22" t="inlineStr">
        <is>
          <t>Body</t>
        </is>
      </c>
      <c r="E156" s="22" t="inlineStr">
        <is>
          <t>Champion Unit</t>
        </is>
      </c>
      <c r="F156" s="22" t="inlineStr">
        <is>
          <t>4</t>
        </is>
      </c>
      <c r="G156" s="22" t="inlineStr">
        <is>
          <t>4</t>
        </is>
      </c>
      <c r="H156" s="22" t="inlineStr">
        <is>
          <t>Rare</t>
        </is>
      </c>
      <c r="I156" s="22" t="inlineStr">
        <is>
          <t>Ixtal;Qiyana</t>
        </is>
      </c>
      <c r="J156" s="23" t="inlineStr">
        <is>
          <t>DEFLECT (Opponents must pay 1 Rune to choose me with a spell or ability.)When I conquer, draw 1 or channel 1 Rune exhausted.</t>
        </is>
      </c>
    </row>
    <row r="157" ht="15" customHeight="1">
      <c r="A157" s="22" t="inlineStr">
        <is>
          <t>OGN-156</t>
        </is>
      </c>
      <c r="B157" s="22" t="inlineStr"/>
      <c r="C157" s="22" t="inlineStr">
        <is>
          <t>Sabotage</t>
        </is>
      </c>
      <c r="D157" s="22" t="inlineStr">
        <is>
          <t>Body</t>
        </is>
      </c>
      <c r="E157" s="22" t="inlineStr">
        <is>
          <t>Spell</t>
        </is>
      </c>
      <c r="F157" s="22" t="inlineStr">
        <is>
          <t>1</t>
        </is>
      </c>
      <c r="G157" s="22" t="inlineStr">
        <is>
          <t>0</t>
        </is>
      </c>
      <c r="H157" s="22" t="inlineStr">
        <is>
          <t>Rare</t>
        </is>
      </c>
      <c r="I157" s="22" t="inlineStr"/>
      <c r="J157" s="23" t="inlineStr">
        <is>
          <t>Choose an opponent. They reveal their hand. Choose a non-unit card from it, and recycle that card.</t>
        </is>
      </c>
    </row>
    <row r="158" ht="15" customHeight="1">
      <c r="A158" s="59" t="inlineStr">
        <is>
          <t>OGN-157</t>
        </is>
      </c>
      <c r="B158" s="59" t="n">
        <v>3</v>
      </c>
      <c r="C158" s="59" t="inlineStr">
        <is>
          <t>Udyr - Wildman</t>
        </is>
      </c>
      <c r="D158" s="59" t="inlineStr">
        <is>
          <t>Body</t>
        </is>
      </c>
      <c r="E158" s="59" t="inlineStr">
        <is>
          <t>Champion Unit</t>
        </is>
      </c>
      <c r="F158" s="59" t="inlineStr">
        <is>
          <t>6</t>
        </is>
      </c>
      <c r="G158" s="59" t="inlineStr">
        <is>
          <t>6</t>
        </is>
      </c>
      <c r="H158" s="59" t="inlineStr">
        <is>
          <t>Rare</t>
        </is>
      </c>
      <c r="I158" s="59" t="inlineStr">
        <is>
          <t>Freljord;Udyr</t>
        </is>
      </c>
      <c r="J158" s="9" t="inlineStr">
        <is>
          <t>Spend my buff: Choose one you've not chosen turn —•Deal 2 to a unit at a battlefield.•Stun a unit at a battlefield•Ready me.•Give me GANKING this turn.</t>
        </is>
      </c>
    </row>
    <row r="159" ht="15" customHeight="1">
      <c r="A159" s="59" t="inlineStr">
        <is>
          <t>OGN-158</t>
        </is>
      </c>
      <c r="B159" s="59" t="n">
        <v>1</v>
      </c>
      <c r="C159" s="59" t="inlineStr">
        <is>
          <t>Volibear - Imposing</t>
        </is>
      </c>
      <c r="D159" s="59" t="inlineStr">
        <is>
          <t>Body</t>
        </is>
      </c>
      <c r="E159" s="59" t="inlineStr">
        <is>
          <t>Champion Unit</t>
        </is>
      </c>
      <c r="F159" s="59" t="inlineStr">
        <is>
          <t>12</t>
        </is>
      </c>
      <c r="G159" s="59" t="inlineStr">
        <is>
          <t>10</t>
        </is>
      </c>
      <c r="H159" s="59" t="inlineStr">
        <is>
          <t>Rare</t>
        </is>
      </c>
      <c r="I159" s="59" t="inlineStr">
        <is>
          <t>Freljord;Volibear</t>
        </is>
      </c>
      <c r="J159" s="9" t="inlineStr">
        <is>
          <t>SHIELD 3 (+3 Might while I'm a defender.)TANK (I must be assigned combat damage first.)When an opponent moves to a battlefield other than mine, draw 1. (Bases are not battlefields.)</t>
        </is>
      </c>
    </row>
    <row r="160" ht="15" customHeight="1">
      <c r="A160" s="22" t="inlineStr">
        <is>
          <t>OGN-159</t>
        </is>
      </c>
      <c r="B160" s="22" t="inlineStr"/>
      <c r="C160" s="22" t="inlineStr">
        <is>
          <t>Warwick - Hunter</t>
        </is>
      </c>
      <c r="D160" s="22" t="inlineStr">
        <is>
          <t>Body</t>
        </is>
      </c>
      <c r="E160" s="22" t="inlineStr">
        <is>
          <t>Champion Unit</t>
        </is>
      </c>
      <c r="F160" s="22" t="inlineStr">
        <is>
          <t>6</t>
        </is>
      </c>
      <c r="G160" s="22" t="inlineStr">
        <is>
          <t>5</t>
        </is>
      </c>
      <c r="H160" s="22" t="inlineStr">
        <is>
          <t>Rare</t>
        </is>
      </c>
      <c r="I160" s="22" t="inlineStr">
        <is>
          <t>Dog;Warwick;Zaun</t>
        </is>
      </c>
      <c r="J160" s="23" t="inlineStr">
        <is>
          <t>I enter ready.When I attack, kill all damaged enemy units here.</t>
        </is>
      </c>
    </row>
    <row r="161" ht="15" customHeight="1">
      <c r="A161" s="22" t="inlineStr">
        <is>
          <t>OGN-160</t>
        </is>
      </c>
      <c r="B161" s="22" t="inlineStr"/>
      <c r="C161" s="22" t="inlineStr">
        <is>
          <t>Dazzling Aurora</t>
        </is>
      </c>
      <c r="D161" s="22" t="inlineStr">
        <is>
          <t>Body</t>
        </is>
      </c>
      <c r="E161" s="22" t="inlineStr">
        <is>
          <t>Gear</t>
        </is>
      </c>
      <c r="F161" s="22" t="inlineStr">
        <is>
          <t>9</t>
        </is>
      </c>
      <c r="G161" s="22" t="inlineStr">
        <is>
          <t>0</t>
        </is>
      </c>
      <c r="H161" s="22" t="inlineStr">
        <is>
          <t>Epic</t>
        </is>
      </c>
      <c r="I161" s="22" t="inlineStr"/>
      <c r="J161" s="23" t="inlineStr">
        <is>
          <t>At the end of your turn, reveal cards from the top of your Main Deck until you reveal a unit. Play it, ignoring its cost, and recycle the rest.</t>
        </is>
      </c>
    </row>
    <row r="162" ht="15" customHeight="1">
      <c r="A162" s="22" t="inlineStr">
        <is>
          <t>OGN-161</t>
        </is>
      </c>
      <c r="B162" s="22" t="inlineStr"/>
      <c r="C162" s="22" t="inlineStr">
        <is>
          <t>Deadbloom Predator</t>
        </is>
      </c>
      <c r="D162" s="22" t="inlineStr">
        <is>
          <t>Body</t>
        </is>
      </c>
      <c r="E162" s="22" t="inlineStr">
        <is>
          <t>Unit</t>
        </is>
      </c>
      <c r="F162" s="22" t="inlineStr">
        <is>
          <t>8</t>
        </is>
      </c>
      <c r="G162" s="22" t="inlineStr">
        <is>
          <t>8</t>
        </is>
      </c>
      <c r="H162" s="22" t="inlineStr">
        <is>
          <t>Epic</t>
        </is>
      </c>
      <c r="I162" s="22" t="inlineStr">
        <is>
          <t>Shadow Isles</t>
        </is>
      </c>
      <c r="J162" s="23" t="inlineStr">
        <is>
          <t>DEFLECT (Opponents must play rune to choose me with a spell or effect.)You may play me to an occupied enemy battlefield.</t>
        </is>
      </c>
    </row>
    <row r="163" ht="15" customHeight="1">
      <c r="A163" s="22" t="inlineStr">
        <is>
          <t>OGN-162</t>
        </is>
      </c>
      <c r="B163" s="22" t="inlineStr"/>
      <c r="C163" s="22" t="inlineStr">
        <is>
          <t>Miss Fortune - Captain</t>
        </is>
      </c>
      <c r="D163" s="22" t="inlineStr">
        <is>
          <t>Body</t>
        </is>
      </c>
      <c r="E163" s="22" t="inlineStr">
        <is>
          <t>Champion Unit</t>
        </is>
      </c>
      <c r="F163" s="22" t="inlineStr">
        <is>
          <t>5</t>
        </is>
      </c>
      <c r="G163" s="22" t="inlineStr">
        <is>
          <t>5</t>
        </is>
      </c>
      <c r="H163" s="22" t="inlineStr">
        <is>
          <t>Epic</t>
        </is>
      </c>
      <c r="I163" s="22" t="inlineStr">
        <is>
          <t>Bilgewater;Miss Fortune;Pirate</t>
        </is>
      </c>
      <c r="J163" s="23" t="inlineStr">
        <is>
          <t>ACCELERATE (You may pay 1 body as an additional cost to have me enter ready.)
GANKING (I can move from battlefield to battlefield.)
The first time I move each turn, you may ready something else that's exhausted.</t>
        </is>
      </c>
    </row>
    <row r="164" ht="15" customHeight="1">
      <c r="A164" s="22" t="inlineStr">
        <is>
          <t>OGN-163</t>
        </is>
      </c>
      <c r="B164" s="22" t="inlineStr"/>
      <c r="C164" s="22" t="inlineStr">
        <is>
          <t>Seal of Strength</t>
        </is>
      </c>
      <c r="D164" s="22" t="inlineStr">
        <is>
          <t>Body</t>
        </is>
      </c>
      <c r="E164" s="22" t="inlineStr">
        <is>
          <t>Gear</t>
        </is>
      </c>
      <c r="F164" s="22" t="inlineStr">
        <is>
          <t>0</t>
        </is>
      </c>
      <c r="G164" s="22" t="inlineStr">
        <is>
          <t>0</t>
        </is>
      </c>
      <c r="H164" s="22" t="inlineStr">
        <is>
          <t>Epic</t>
        </is>
      </c>
      <c r="I164" s="22" t="inlineStr"/>
      <c r="J164" s="23" t="inlineStr">
        <is>
          <t>Exhaust: REACTION - ADD body. (Abilities that add resources can't be reacted to.)</t>
        </is>
      </c>
    </row>
    <row r="165" ht="15" customHeight="1">
      <c r="A165" s="22" t="inlineStr">
        <is>
          <t>OGN-164</t>
        </is>
      </c>
      <c r="B165" s="22" t="inlineStr"/>
      <c r="C165" s="22" t="inlineStr">
        <is>
          <t>Sett - Brawler</t>
        </is>
      </c>
      <c r="D165" s="22" t="inlineStr">
        <is>
          <t>Body</t>
        </is>
      </c>
      <c r="E165" s="22" t="inlineStr">
        <is>
          <t>Champion Unit</t>
        </is>
      </c>
      <c r="F165" s="22" t="inlineStr">
        <is>
          <t>5</t>
        </is>
      </c>
      <c r="G165" s="22" t="inlineStr">
        <is>
          <t>4</t>
        </is>
      </c>
      <c r="H165" s="22" t="inlineStr">
        <is>
          <t>Epic</t>
        </is>
      </c>
      <c r="I165" s="22" t="inlineStr">
        <is>
          <t>Ionia;Sett</t>
        </is>
      </c>
      <c r="J165" s="23" t="inlineStr">
        <is>
          <t>When I'm played and when I conquer, buff me. (If I don't have a buff, I get a +1 Might buff.)
Spend my buff: Give me +4 Might this turn.</t>
        </is>
      </c>
    </row>
    <row r="166" ht="15" customHeight="1">
      <c r="A166" s="55" t="inlineStr">
        <is>
          <t>OGN-165</t>
        </is>
      </c>
      <c r="B166" s="55" t="n">
        <v>2</v>
      </c>
      <c r="C166" s="55" t="inlineStr">
        <is>
          <t>Cemetery Attendant</t>
        </is>
      </c>
      <c r="D166" s="55" t="inlineStr">
        <is>
          <t>Chaos</t>
        </is>
      </c>
      <c r="E166" s="55" t="inlineStr">
        <is>
          <t>Unit</t>
        </is>
      </c>
      <c r="F166" s="55" t="inlineStr">
        <is>
          <t>3</t>
        </is>
      </c>
      <c r="G166" s="55" t="inlineStr">
        <is>
          <t>3</t>
        </is>
      </c>
      <c r="H166" s="55" t="inlineStr">
        <is>
          <t>Common</t>
        </is>
      </c>
      <c r="I166" s="55" t="inlineStr">
        <is>
          <t>Dog;Shadow Isles</t>
        </is>
      </c>
      <c r="J166" s="11" t="inlineStr">
        <is>
          <t>When you play me, return a unit from your trash to your hand.</t>
        </is>
      </c>
    </row>
    <row r="167" ht="15" customHeight="1">
      <c r="A167" s="24" t="inlineStr">
        <is>
          <t>OGN-166</t>
        </is>
      </c>
      <c r="B167" s="24" t="inlineStr"/>
      <c r="C167" s="24" t="inlineStr">
        <is>
          <t>Chaos Rune</t>
        </is>
      </c>
      <c r="D167" s="24" t="inlineStr">
        <is>
          <t>Chaos</t>
        </is>
      </c>
      <c r="E167" s="24" t="inlineStr">
        <is>
          <t>Rune</t>
        </is>
      </c>
      <c r="F167" s="24" t="inlineStr">
        <is>
          <t>0</t>
        </is>
      </c>
      <c r="G167" s="24" t="inlineStr">
        <is>
          <t>0</t>
        </is>
      </c>
      <c r="H167" s="24" t="inlineStr">
        <is>
          <t>Common</t>
        </is>
      </c>
      <c r="I167" s="24" t="inlineStr"/>
      <c r="J167" s="25" t="inlineStr"/>
    </row>
    <row r="168" ht="15" customHeight="1">
      <c r="A168" s="55" t="inlineStr">
        <is>
          <t>OGN-167</t>
        </is>
      </c>
      <c r="B168" s="55" t="n">
        <v>2</v>
      </c>
      <c r="C168" s="55" t="inlineStr">
        <is>
          <t>Ember Monk</t>
        </is>
      </c>
      <c r="D168" s="55" t="inlineStr">
        <is>
          <t>Chaos</t>
        </is>
      </c>
      <c r="E168" s="55" t="inlineStr">
        <is>
          <t>Unit</t>
        </is>
      </c>
      <c r="F168" s="55" t="inlineStr">
        <is>
          <t>4</t>
        </is>
      </c>
      <c r="G168" s="55" t="inlineStr">
        <is>
          <t>4</t>
        </is>
      </c>
      <c r="H168" s="55" t="inlineStr">
        <is>
          <t>Common</t>
        </is>
      </c>
      <c r="I168" s="55" t="inlineStr">
        <is>
          <t>Bandle City</t>
        </is>
      </c>
      <c r="J168" s="11" t="inlineStr">
        <is>
          <t>When you play a card from HIDDEN, give me +2 Might this turn.</t>
        </is>
      </c>
    </row>
    <row r="169" ht="15" customHeight="1">
      <c r="A169" s="55" t="inlineStr">
        <is>
          <t>OGN-168</t>
        </is>
      </c>
      <c r="B169" s="55" t="n">
        <v>3</v>
      </c>
      <c r="C169" s="55" t="inlineStr">
        <is>
          <t>Fight or Flight</t>
        </is>
      </c>
      <c r="D169" s="55" t="inlineStr">
        <is>
          <t>Chaos</t>
        </is>
      </c>
      <c r="E169" s="55" t="inlineStr">
        <is>
          <t>Spell</t>
        </is>
      </c>
      <c r="F169" s="55" t="inlineStr">
        <is>
          <t>2</t>
        </is>
      </c>
      <c r="G169" s="55" t="inlineStr">
        <is>
          <t>0</t>
        </is>
      </c>
      <c r="H169" s="55" t="inlineStr">
        <is>
          <t>Common</t>
        </is>
      </c>
      <c r="I169" s="55" t="inlineStr"/>
      <c r="J169" s="11" t="inlineStr">
        <is>
          <t>HIDDEN (Hide now for 1 Rune to react with later for 0.)
ACTION (Play on your turn or in showdowns.)
Move a unit from a battlefield to its base.</t>
        </is>
      </c>
    </row>
    <row r="170" ht="15" customHeight="1">
      <c r="A170" s="55" t="inlineStr">
        <is>
          <t>OGN-169</t>
        </is>
      </c>
      <c r="B170" s="55" t="n">
        <v>3</v>
      </c>
      <c r="C170" s="55" t="inlineStr">
        <is>
          <t>Gust</t>
        </is>
      </c>
      <c r="D170" s="55" t="inlineStr">
        <is>
          <t>Chaos</t>
        </is>
      </c>
      <c r="E170" s="55" t="inlineStr">
        <is>
          <t>Spell</t>
        </is>
      </c>
      <c r="F170" s="55" t="inlineStr">
        <is>
          <t>1</t>
        </is>
      </c>
      <c r="G170" s="55" t="inlineStr">
        <is>
          <t>0</t>
        </is>
      </c>
      <c r="H170" s="55" t="inlineStr">
        <is>
          <t>Common</t>
        </is>
      </c>
      <c r="I170" s="55" t="inlineStr"/>
      <c r="J170" s="11" t="inlineStr">
        <is>
          <t>REACTION (Play any time, even before spells and abilities resolve.)
Return a unit at a battlefield with 3 Might or less to its owner's hand.</t>
        </is>
      </c>
    </row>
    <row r="171" ht="15" customHeight="1">
      <c r="A171" s="24" t="inlineStr">
        <is>
          <t>OGN-170</t>
        </is>
      </c>
      <c r="B171" s="24" t="inlineStr"/>
      <c r="C171" s="24" t="inlineStr">
        <is>
          <t>Morbid Return</t>
        </is>
      </c>
      <c r="D171" s="24" t="inlineStr">
        <is>
          <t>Chaos</t>
        </is>
      </c>
      <c r="E171" s="24" t="inlineStr">
        <is>
          <t>Spell</t>
        </is>
      </c>
      <c r="F171" s="24" t="inlineStr">
        <is>
          <t>2</t>
        </is>
      </c>
      <c r="G171" s="24" t="inlineStr">
        <is>
          <t>0</t>
        </is>
      </c>
      <c r="H171" s="24" t="inlineStr">
        <is>
          <t>Common</t>
        </is>
      </c>
      <c r="I171" s="24" t="inlineStr"/>
      <c r="J171" s="25" t="inlineStr">
        <is>
          <t>ACTION (Play on your turn or in showdowns.)
Return a unit from your trash to your hand.</t>
        </is>
      </c>
    </row>
    <row r="172" ht="15" customHeight="1">
      <c r="A172" s="24" t="inlineStr">
        <is>
          <t>OGN-171</t>
        </is>
      </c>
      <c r="B172" s="24" t="inlineStr"/>
      <c r="C172" s="24" t="inlineStr">
        <is>
          <t>Mystic Poro</t>
        </is>
      </c>
      <c r="D172" s="24" t="inlineStr">
        <is>
          <t>Chaos</t>
        </is>
      </c>
      <c r="E172" s="24" t="inlineStr">
        <is>
          <t>Unit</t>
        </is>
      </c>
      <c r="F172" s="24" t="inlineStr">
        <is>
          <t>2</t>
        </is>
      </c>
      <c r="G172" s="24" t="inlineStr">
        <is>
          <t>2</t>
        </is>
      </c>
      <c r="H172" s="24" t="inlineStr">
        <is>
          <t>Common</t>
        </is>
      </c>
      <c r="I172" s="24" t="inlineStr">
        <is>
          <t>Poro</t>
        </is>
      </c>
      <c r="J172" s="25" t="inlineStr">
        <is>
          <t>VISION (When you play me, look at the top card of your Main Deck. You may recycle it.)</t>
        </is>
      </c>
    </row>
    <row r="173" ht="15" customHeight="1">
      <c r="A173" s="24" t="inlineStr">
        <is>
          <t>OGN-172</t>
        </is>
      </c>
      <c r="B173" s="24" t="inlineStr"/>
      <c r="C173" s="24" t="inlineStr">
        <is>
          <t>Rebuke</t>
        </is>
      </c>
      <c r="D173" s="24" t="inlineStr">
        <is>
          <t>Chaos</t>
        </is>
      </c>
      <c r="E173" s="24" t="inlineStr">
        <is>
          <t>Spell</t>
        </is>
      </c>
      <c r="F173" s="24" t="inlineStr">
        <is>
          <t>2</t>
        </is>
      </c>
      <c r="G173" s="24" t="inlineStr">
        <is>
          <t>0</t>
        </is>
      </c>
      <c r="H173" s="24" t="inlineStr">
        <is>
          <t>Common</t>
        </is>
      </c>
      <c r="I173" s="24" t="inlineStr"/>
      <c r="J173" s="25" t="inlineStr">
        <is>
          <t>ACTION (Play on your turn or in showdowns.)
Return a unit at a battlefield to its owner's hand.</t>
        </is>
      </c>
    </row>
    <row r="174" ht="15" customHeight="1">
      <c r="A174" s="24" t="inlineStr">
        <is>
          <t>OGN-173</t>
        </is>
      </c>
      <c r="B174" s="24" t="inlineStr"/>
      <c r="C174" s="24" t="inlineStr">
        <is>
          <t>Ride The Wind</t>
        </is>
      </c>
      <c r="D174" s="24" t="inlineStr">
        <is>
          <t>Chaos</t>
        </is>
      </c>
      <c r="E174" s="24" t="inlineStr">
        <is>
          <t>Spell</t>
        </is>
      </c>
      <c r="F174" s="24" t="inlineStr">
        <is>
          <t>2</t>
        </is>
      </c>
      <c r="G174" s="24" t="inlineStr">
        <is>
          <t>0</t>
        </is>
      </c>
      <c r="H174" s="24" t="inlineStr">
        <is>
          <t>Common</t>
        </is>
      </c>
      <c r="I174" s="24" t="inlineStr"/>
      <c r="J174" s="25" t="inlineStr">
        <is>
          <t>ACTION (Play on your turn or in showdowns.)Move a friendly unit and ready it.</t>
        </is>
      </c>
    </row>
    <row r="175" ht="15" customHeight="1">
      <c r="A175" s="24" t="inlineStr">
        <is>
          <t>OGN-174</t>
        </is>
      </c>
      <c r="B175" s="24" t="inlineStr"/>
      <c r="C175" s="24" t="inlineStr">
        <is>
          <t>Sai Scout</t>
        </is>
      </c>
      <c r="D175" s="24" t="inlineStr">
        <is>
          <t>Chaos</t>
        </is>
      </c>
      <c r="E175" s="24" t="inlineStr">
        <is>
          <t>Unit</t>
        </is>
      </c>
      <c r="F175" s="24" t="inlineStr">
        <is>
          <t>6</t>
        </is>
      </c>
      <c r="G175" s="24" t="inlineStr">
        <is>
          <t>5</t>
        </is>
      </c>
      <c r="H175" s="24" t="inlineStr">
        <is>
          <t>Common</t>
        </is>
      </c>
      <c r="I175" s="24" t="inlineStr">
        <is>
          <t>Shurima</t>
        </is>
      </c>
      <c r="J175" s="25" t="inlineStr">
        <is>
          <t>VISION (When you play me, look at the top card of your Main Deck. You may recycle it.)
You may play me to an open battlefield.</t>
        </is>
      </c>
    </row>
    <row r="176" ht="15" customHeight="1">
      <c r="A176" s="55" t="inlineStr">
        <is>
          <t>OGN-175</t>
        </is>
      </c>
      <c r="B176" s="55" t="n">
        <v>1</v>
      </c>
      <c r="C176" s="55" t="inlineStr">
        <is>
          <t>Shipyard Skulker</t>
        </is>
      </c>
      <c r="D176" s="55" t="inlineStr">
        <is>
          <t>Chaos</t>
        </is>
      </c>
      <c r="E176" s="55" t="inlineStr">
        <is>
          <t>Unit</t>
        </is>
      </c>
      <c r="F176" s="55" t="inlineStr">
        <is>
          <t>3</t>
        </is>
      </c>
      <c r="G176" s="55" t="inlineStr">
        <is>
          <t>3</t>
        </is>
      </c>
      <c r="H176" s="55" t="inlineStr">
        <is>
          <t>Common</t>
        </is>
      </c>
      <c r="I176" s="55" t="inlineStr">
        <is>
          <t>Bilgewater;Pirate</t>
        </is>
      </c>
      <c r="J176" s="11" t="inlineStr"/>
    </row>
    <row r="177" ht="15" customHeight="1">
      <c r="A177" s="55" t="inlineStr">
        <is>
          <t>OGN-176</t>
        </is>
      </c>
      <c r="B177" s="55" t="n">
        <v>1</v>
      </c>
      <c r="C177" s="55" t="inlineStr">
        <is>
          <t>Sneaky Deckhand</t>
        </is>
      </c>
      <c r="D177" s="55" t="inlineStr">
        <is>
          <t>Chaos</t>
        </is>
      </c>
      <c r="E177" s="55" t="inlineStr">
        <is>
          <t>Unit</t>
        </is>
      </c>
      <c r="F177" s="55" t="inlineStr">
        <is>
          <t>3</t>
        </is>
      </c>
      <c r="G177" s="55" t="inlineStr">
        <is>
          <t>2</t>
        </is>
      </c>
      <c r="H177" s="55" t="inlineStr">
        <is>
          <t>Common</t>
        </is>
      </c>
      <c r="I177" s="55" t="inlineStr">
        <is>
          <t>Bilgewater;Pirate</t>
        </is>
      </c>
      <c r="J177" s="11" t="inlineStr">
        <is>
          <t>You may play me to an open battlefield.</t>
        </is>
      </c>
    </row>
    <row r="178" ht="15" customHeight="1">
      <c r="A178" s="24" t="inlineStr">
        <is>
          <t>OGN-177</t>
        </is>
      </c>
      <c r="B178" s="24" t="inlineStr"/>
      <c r="C178" s="24" t="inlineStr">
        <is>
          <t>Stealthy Pursuer</t>
        </is>
      </c>
      <c r="D178" s="24" t="inlineStr">
        <is>
          <t>Chaos</t>
        </is>
      </c>
      <c r="E178" s="24" t="inlineStr">
        <is>
          <t>Unit</t>
        </is>
      </c>
      <c r="F178" s="24" t="inlineStr">
        <is>
          <t>4</t>
        </is>
      </c>
      <c r="G178" s="24" t="inlineStr">
        <is>
          <t>4</t>
        </is>
      </c>
      <c r="H178" s="24" t="inlineStr">
        <is>
          <t>Common</t>
        </is>
      </c>
      <c r="I178" s="24" t="inlineStr">
        <is>
          <t>Shurima</t>
        </is>
      </c>
      <c r="J178" s="25" t="inlineStr">
        <is>
          <t>When a friendly unit moves from my location, I may be moved with it.</t>
        </is>
      </c>
    </row>
    <row r="179" ht="15" customHeight="1">
      <c r="A179" s="55" t="inlineStr">
        <is>
          <t>OGN-178</t>
        </is>
      </c>
      <c r="B179" s="55" t="n">
        <v>2</v>
      </c>
      <c r="C179" s="55" t="inlineStr">
        <is>
          <t>Undercover Agent</t>
        </is>
      </c>
      <c r="D179" s="55" t="inlineStr">
        <is>
          <t>Chaos</t>
        </is>
      </c>
      <c r="E179" s="55" t="inlineStr">
        <is>
          <t>Unit</t>
        </is>
      </c>
      <c r="F179" s="55" t="inlineStr">
        <is>
          <t>5</t>
        </is>
      </c>
      <c r="G179" s="55" t="inlineStr">
        <is>
          <t>5</t>
        </is>
      </c>
      <c r="H179" s="55" t="inlineStr">
        <is>
          <t>Common</t>
        </is>
      </c>
      <c r="I179" s="55" t="inlineStr"/>
      <c r="J179" s="11" t="inlineStr">
        <is>
          <t>DEATHKNELL - Discard 2, then draw 2. (When I die, get the effect.)</t>
        </is>
      </c>
    </row>
    <row r="180" ht="15" customHeight="1">
      <c r="A180" s="24" t="inlineStr">
        <is>
          <t>OGN-179</t>
        </is>
      </c>
      <c r="B180" s="24" t="inlineStr"/>
      <c r="C180" s="24" t="inlineStr">
        <is>
          <t>Acceptable Losses</t>
        </is>
      </c>
      <c r="D180" s="24" t="inlineStr">
        <is>
          <t>Chaos</t>
        </is>
      </c>
      <c r="E180" s="24" t="inlineStr">
        <is>
          <t>Spell</t>
        </is>
      </c>
      <c r="F180" s="24" t="inlineStr">
        <is>
          <t>1</t>
        </is>
      </c>
      <c r="G180" s="24" t="inlineStr">
        <is>
          <t>0</t>
        </is>
      </c>
      <c r="H180" s="24" t="inlineStr">
        <is>
          <t>Uncommon</t>
        </is>
      </c>
      <c r="I180" s="24" t="inlineStr"/>
      <c r="J180" s="25" t="inlineStr">
        <is>
          <t>ACTION (Play on your turn or in showdowns.)
Each player kills one of their gear.</t>
        </is>
      </c>
    </row>
    <row r="181" ht="15" customHeight="1">
      <c r="A181" s="55" t="inlineStr">
        <is>
          <t>OGN-180</t>
        </is>
      </c>
      <c r="B181" s="55" t="n">
        <v>2</v>
      </c>
      <c r="C181" s="55" t="inlineStr">
        <is>
          <t>Fading Memories</t>
        </is>
      </c>
      <c r="D181" s="55" t="inlineStr">
        <is>
          <t>Chaos</t>
        </is>
      </c>
      <c r="E181" s="55" t="inlineStr">
        <is>
          <t>Spell</t>
        </is>
      </c>
      <c r="F181" s="55" t="inlineStr">
        <is>
          <t>4</t>
        </is>
      </c>
      <c r="G181" s="55" t="inlineStr">
        <is>
          <t>0</t>
        </is>
      </c>
      <c r="H181" s="55" t="inlineStr">
        <is>
          <t>Uncommon</t>
        </is>
      </c>
      <c r="I181" s="55" t="inlineStr"/>
      <c r="J181" s="11" t="inlineStr">
        <is>
          <t>Give a unit at a battlefield or a gear TEMPORARY. (Kill it at the start of its controller's Beginning Phase, before.)</t>
        </is>
      </c>
    </row>
    <row r="182" ht="15" customHeight="1">
      <c r="A182" s="24" t="inlineStr">
        <is>
          <t>OGN-181</t>
        </is>
      </c>
      <c r="B182" s="24" t="inlineStr"/>
      <c r="C182" s="24" t="inlineStr">
        <is>
          <t>Pack of Wonders</t>
        </is>
      </c>
      <c r="D182" s="24" t="inlineStr">
        <is>
          <t>Chaos</t>
        </is>
      </c>
      <c r="E182" s="24" t="inlineStr">
        <is>
          <t>Gear</t>
        </is>
      </c>
      <c r="F182" s="24" t="inlineStr">
        <is>
          <t>2</t>
        </is>
      </c>
      <c r="G182" s="24" t="inlineStr">
        <is>
          <t>0</t>
        </is>
      </c>
      <c r="H182" s="24" t="inlineStr">
        <is>
          <t>Uncommon</t>
        </is>
      </c>
      <c r="I182" s="24" t="inlineStr"/>
      <c r="J182" s="25" t="inlineStr">
        <is>
          <t>Exhaust: Return another friendly gear, unit, or HIDDEN card to its owner's hand.</t>
        </is>
      </c>
    </row>
    <row r="183" ht="15" customHeight="1">
      <c r="A183" s="55" t="inlineStr">
        <is>
          <t>OGN-182</t>
        </is>
      </c>
      <c r="B183" s="55" t="n">
        <v>3</v>
      </c>
      <c r="C183" s="55" t="inlineStr">
        <is>
          <t>Scrapheap</t>
        </is>
      </c>
      <c r="D183" s="55" t="inlineStr">
        <is>
          <t>Chaos</t>
        </is>
      </c>
      <c r="E183" s="55" t="inlineStr">
        <is>
          <t>Gear</t>
        </is>
      </c>
      <c r="F183" s="55" t="inlineStr">
        <is>
          <t>2</t>
        </is>
      </c>
      <c r="G183" s="55" t="inlineStr">
        <is>
          <t>0</t>
        </is>
      </c>
      <c r="H183" s="55" t="inlineStr">
        <is>
          <t>Uncommon</t>
        </is>
      </c>
      <c r="I183" s="55" t="inlineStr"/>
      <c r="J183" s="11" t="inlineStr">
        <is>
          <t>When this is played, discarded, or killed, draw 1.</t>
        </is>
      </c>
    </row>
    <row r="184" ht="15" customHeight="1">
      <c r="A184" s="55" t="inlineStr">
        <is>
          <t>OGN-183</t>
        </is>
      </c>
      <c r="B184" s="55" t="n">
        <v>1</v>
      </c>
      <c r="C184" s="55" t="inlineStr">
        <is>
          <t>Stacked Deck</t>
        </is>
      </c>
      <c r="D184" s="55" t="inlineStr">
        <is>
          <t>Chaos</t>
        </is>
      </c>
      <c r="E184" s="55" t="inlineStr">
        <is>
          <t>Spell</t>
        </is>
      </c>
      <c r="F184" s="55" t="inlineStr">
        <is>
          <t>1</t>
        </is>
      </c>
      <c r="G184" s="55" t="inlineStr">
        <is>
          <t>0</t>
        </is>
      </c>
      <c r="H184" s="55" t="inlineStr">
        <is>
          <t>Uncommon</t>
        </is>
      </c>
      <c r="I184" s="55" t="inlineStr"/>
      <c r="J184" s="11" t="inlineStr">
        <is>
          <t>ACTION (Play on your turn or in showdowns.)Look at the top 3 cards of your Main Deck. Put 1 into your hand and recycle the rest.</t>
        </is>
      </c>
    </row>
    <row r="185" ht="15" customHeight="1">
      <c r="A185" s="24" t="inlineStr">
        <is>
          <t>OGN-184</t>
        </is>
      </c>
      <c r="B185" s="24" t="inlineStr"/>
      <c r="C185" s="24" t="inlineStr">
        <is>
          <t>The Syren</t>
        </is>
      </c>
      <c r="D185" s="24" t="inlineStr">
        <is>
          <t>Chaos</t>
        </is>
      </c>
      <c r="E185" s="24" t="inlineStr">
        <is>
          <t>Gear</t>
        </is>
      </c>
      <c r="F185" s="24" t="inlineStr">
        <is>
          <t>2</t>
        </is>
      </c>
      <c r="G185" s="24" t="inlineStr">
        <is>
          <t>0</t>
        </is>
      </c>
      <c r="H185" s="24" t="inlineStr">
        <is>
          <t>Uncommon</t>
        </is>
      </c>
      <c r="I185" s="24" t="inlineStr"/>
      <c r="J185" s="25" t="inlineStr">
        <is>
          <t>1, Exhaust: Move a friendly unit at a battlefield to your base.</t>
        </is>
      </c>
    </row>
    <row r="186" ht="15" customHeight="1">
      <c r="A186" s="55" t="inlineStr">
        <is>
          <t>OGN-185</t>
        </is>
      </c>
      <c r="B186" s="55" t="n">
        <v>3</v>
      </c>
      <c r="C186" s="55" t="inlineStr">
        <is>
          <t>Traveling Merchant</t>
        </is>
      </c>
      <c r="D186" s="55" t="inlineStr">
        <is>
          <t>Chaos</t>
        </is>
      </c>
      <c r="E186" s="55" t="inlineStr">
        <is>
          <t>Unit</t>
        </is>
      </c>
      <c r="F186" s="55" t="inlineStr">
        <is>
          <t>2</t>
        </is>
      </c>
      <c r="G186" s="55" t="inlineStr">
        <is>
          <t>2</t>
        </is>
      </c>
      <c r="H186" s="55" t="inlineStr">
        <is>
          <t>Uncommon</t>
        </is>
      </c>
      <c r="I186" s="55" t="inlineStr">
        <is>
          <t>Bilgewater</t>
        </is>
      </c>
      <c r="J186" s="11" t="inlineStr">
        <is>
          <t>When I move, discard 1, then draw 1.</t>
        </is>
      </c>
    </row>
    <row r="187" ht="15" customHeight="1">
      <c r="A187" s="24" t="inlineStr">
        <is>
          <t>OGN-186</t>
        </is>
      </c>
      <c r="B187" s="24" t="inlineStr"/>
      <c r="C187" s="24" t="inlineStr">
        <is>
          <t>Treasure Trove</t>
        </is>
      </c>
      <c r="D187" s="24" t="inlineStr">
        <is>
          <t>Chaos</t>
        </is>
      </c>
      <c r="E187" s="24" t="inlineStr">
        <is>
          <t>Gear</t>
        </is>
      </c>
      <c r="F187" s="24" t="inlineStr">
        <is>
          <t>2</t>
        </is>
      </c>
      <c r="G187" s="24" t="inlineStr">
        <is>
          <t>0</t>
        </is>
      </c>
      <c r="H187" s="24" t="inlineStr">
        <is>
          <t>Uncommon</t>
        </is>
      </c>
      <c r="I187" s="24" t="inlineStr"/>
      <c r="J187" s="25" t="inlineStr">
        <is>
          <t>When this leaves the board, draw 1 and channel 1 rune exhausted.</t>
        </is>
      </c>
    </row>
    <row r="188" ht="15" customHeight="1">
      <c r="A188" s="24" t="inlineStr">
        <is>
          <t>OGN-187</t>
        </is>
      </c>
      <c r="B188" s="24" t="inlineStr"/>
      <c r="C188" s="24" t="inlineStr">
        <is>
          <t>Whirlwind</t>
        </is>
      </c>
      <c r="D188" s="24" t="inlineStr">
        <is>
          <t>Chaos</t>
        </is>
      </c>
      <c r="E188" s="24" t="inlineStr">
        <is>
          <t>Spell</t>
        </is>
      </c>
      <c r="F188" s="24" t="inlineStr">
        <is>
          <t>4</t>
        </is>
      </c>
      <c r="G188" s="24" t="inlineStr">
        <is>
          <t>0</t>
        </is>
      </c>
      <c r="H188" s="24" t="inlineStr">
        <is>
          <t>Uncommon</t>
        </is>
      </c>
      <c r="I188" s="24" t="inlineStr"/>
      <c r="J188" s="25" t="inlineStr">
        <is>
          <t>Starting with the next player, each player may return a unit to its owner's hand.</t>
        </is>
      </c>
    </row>
    <row r="189" ht="15" customHeight="1">
      <c r="A189" s="24" t="inlineStr">
        <is>
          <t>OGN-188</t>
        </is>
      </c>
      <c r="B189" s="24" t="inlineStr"/>
      <c r="C189" s="24" t="inlineStr">
        <is>
          <t>Zaunite Bouncer</t>
        </is>
      </c>
      <c r="D189" s="24" t="inlineStr">
        <is>
          <t>Chaos</t>
        </is>
      </c>
      <c r="E189" s="24" t="inlineStr">
        <is>
          <t>Unit</t>
        </is>
      </c>
      <c r="F189" s="24" t="inlineStr">
        <is>
          <t>4</t>
        </is>
      </c>
      <c r="G189" s="24" t="inlineStr">
        <is>
          <t>2</t>
        </is>
      </c>
      <c r="H189" s="24" t="inlineStr">
        <is>
          <t>Uncommon</t>
        </is>
      </c>
      <c r="I189" s="24" t="inlineStr">
        <is>
          <t>Zaun</t>
        </is>
      </c>
      <c r="J189" s="25" t="inlineStr">
        <is>
          <t>When you play me, return another unit at a battlefield to its owner's hand.</t>
        </is>
      </c>
    </row>
    <row r="190" ht="15" customHeight="1">
      <c r="A190" s="24" t="inlineStr">
        <is>
          <t>OGN-189</t>
        </is>
      </c>
      <c r="B190" s="24" t="inlineStr"/>
      <c r="C190" s="24" t="inlineStr">
        <is>
          <t>Kayn - Unleashed</t>
        </is>
      </c>
      <c r="D190" s="24" t="inlineStr">
        <is>
          <t>Chaos</t>
        </is>
      </c>
      <c r="E190" s="24" t="inlineStr">
        <is>
          <t>Champion Unit</t>
        </is>
      </c>
      <c r="F190" s="24" t="inlineStr">
        <is>
          <t>6</t>
        </is>
      </c>
      <c r="G190" s="24" t="inlineStr">
        <is>
          <t>6</t>
        </is>
      </c>
      <c r="H190" s="24" t="inlineStr">
        <is>
          <t>Rare</t>
        </is>
      </c>
      <c r="I190" s="24" t="inlineStr">
        <is>
          <t>Iona;Kayn</t>
        </is>
      </c>
      <c r="J190" s="25" t="inlineStr">
        <is>
          <t>GANKING (I can move from battlefield to battlefield.)If I have moved twice this turn, I don't take damage.</t>
        </is>
      </c>
    </row>
    <row r="191" ht="15" customHeight="1">
      <c r="A191" s="24" t="inlineStr">
        <is>
          <t>OGN-190</t>
        </is>
      </c>
      <c r="B191" s="24" t="inlineStr"/>
      <c r="C191" s="24" t="inlineStr">
        <is>
          <t>Kog'Maw - Caustic</t>
        </is>
      </c>
      <c r="D191" s="24" t="inlineStr">
        <is>
          <t>Chaos</t>
        </is>
      </c>
      <c r="E191" s="24" t="inlineStr">
        <is>
          <t>Champion Unit</t>
        </is>
      </c>
      <c r="F191" s="24" t="inlineStr">
        <is>
          <t>3</t>
        </is>
      </c>
      <c r="G191" s="24" t="inlineStr">
        <is>
          <t>1</t>
        </is>
      </c>
      <c r="H191" s="24" t="inlineStr">
        <is>
          <t>Rare</t>
        </is>
      </c>
      <c r="I191" s="24" t="inlineStr">
        <is>
          <t>Kog'Maw;The Void</t>
        </is>
      </c>
      <c r="J191" s="25" t="inlineStr">
        <is>
          <t>DEATHKNELL - Deal 4 to all units at my battlefield. (When I die, get the effect)</t>
        </is>
      </c>
    </row>
    <row r="192" ht="15" customHeight="1">
      <c r="A192" s="24" t="inlineStr">
        <is>
          <t>OGN-191</t>
        </is>
      </c>
      <c r="B192" s="24" t="inlineStr"/>
      <c r="C192" s="24" t="inlineStr">
        <is>
          <t>Maddened Marauder</t>
        </is>
      </c>
      <c r="D192" s="24" t="inlineStr">
        <is>
          <t>Chaos</t>
        </is>
      </c>
      <c r="E192" s="24" t="inlineStr">
        <is>
          <t>Unit</t>
        </is>
      </c>
      <c r="F192" s="24" t="inlineStr">
        <is>
          <t>5</t>
        </is>
      </c>
      <c r="G192" s="24" t="inlineStr">
        <is>
          <t>4</t>
        </is>
      </c>
      <c r="H192" s="24" t="inlineStr">
        <is>
          <t>Rare</t>
        </is>
      </c>
      <c r="I192" s="24" t="inlineStr">
        <is>
          <t>Bilgewater;Pirate</t>
        </is>
      </c>
      <c r="J192" s="25" t="inlineStr">
        <is>
          <t>TANK (I must be assigned combat damage first.)
When you play me, move a unit from a battlefield to its base.</t>
        </is>
      </c>
    </row>
    <row r="193" ht="15" customHeight="1">
      <c r="A193" s="24" t="inlineStr">
        <is>
          <t>OGN-192</t>
        </is>
      </c>
      <c r="B193" s="24" t="inlineStr"/>
      <c r="C193" s="24" t="inlineStr">
        <is>
          <t>Mindsplitter</t>
        </is>
      </c>
      <c r="D193" s="24" t="inlineStr">
        <is>
          <t>Chaos</t>
        </is>
      </c>
      <c r="E193" s="24" t="inlineStr">
        <is>
          <t>Unit</t>
        </is>
      </c>
      <c r="F193" s="24" t="inlineStr">
        <is>
          <t>7</t>
        </is>
      </c>
      <c r="G193" s="24" t="inlineStr">
        <is>
          <t>7</t>
        </is>
      </c>
      <c r="H193" s="24" t="inlineStr">
        <is>
          <t>Rare</t>
        </is>
      </c>
      <c r="I193" s="24" t="inlineStr">
        <is>
          <t>Dragon;Mount Targon</t>
        </is>
      </c>
      <c r="J193" s="25" t="inlineStr">
        <is>
          <t>When you play me, choose an opponent. They reveal their hand. Choose a card from it, and they discard that card.</t>
        </is>
      </c>
    </row>
    <row r="194" ht="15" customHeight="1">
      <c r="A194" s="24" t="inlineStr">
        <is>
          <t>OGN-193</t>
        </is>
      </c>
      <c r="B194" s="24" t="inlineStr"/>
      <c r="C194" s="24" t="inlineStr">
        <is>
          <t>Miss Fortune - Buccaneer</t>
        </is>
      </c>
      <c r="D194" s="24" t="inlineStr">
        <is>
          <t>Chaos</t>
        </is>
      </c>
      <c r="E194" s="24" t="inlineStr">
        <is>
          <t>Champion Unit</t>
        </is>
      </c>
      <c r="F194" s="24" t="inlineStr">
        <is>
          <t>4</t>
        </is>
      </c>
      <c r="G194" s="24" t="inlineStr">
        <is>
          <t>4</t>
        </is>
      </c>
      <c r="H194" s="24" t="inlineStr">
        <is>
          <t>Rare</t>
        </is>
      </c>
      <c r="I194" s="24" t="inlineStr">
        <is>
          <t>Bilgewater;Miss Fortune;Pirate</t>
        </is>
      </c>
      <c r="J194" s="25" t="inlineStr">
        <is>
          <t>You may play me to an open battlefield.Friendly units may be played to open battlefields.</t>
        </is>
      </c>
    </row>
    <row r="195" ht="15" customHeight="1">
      <c r="A195" s="24" t="inlineStr">
        <is>
          <t>OGN-194</t>
        </is>
      </c>
      <c r="B195" s="24" t="inlineStr"/>
      <c r="C195" s="24" t="inlineStr">
        <is>
          <t>Nocturne - Horrifying</t>
        </is>
      </c>
      <c r="D195" s="24" t="inlineStr">
        <is>
          <t>Chaos</t>
        </is>
      </c>
      <c r="E195" s="24" t="inlineStr">
        <is>
          <t>Champion Unit</t>
        </is>
      </c>
      <c r="F195" s="24" t="inlineStr">
        <is>
          <t>4</t>
        </is>
      </c>
      <c r="G195" s="24" t="inlineStr">
        <is>
          <t>4</t>
        </is>
      </c>
      <c r="H195" s="24" t="inlineStr">
        <is>
          <t>Rare</t>
        </is>
      </c>
      <c r="I195" s="24" t="inlineStr">
        <is>
          <t>Nocturne</t>
        </is>
      </c>
      <c r="J195" s="25" t="inlineStr">
        <is>
          <t>GANKING (I can move from battlefield to battlefield.) When you look at cards from the top of your deck (and don't draw them) and see me, you may play me for [Power].</t>
        </is>
      </c>
    </row>
    <row r="196" ht="15" customHeight="1">
      <c r="A196" s="55" t="inlineStr">
        <is>
          <t>OGN-195</t>
        </is>
      </c>
      <c r="B196" s="55" t="n">
        <v>1</v>
      </c>
      <c r="C196" s="55" t="inlineStr">
        <is>
          <t>Rhasa the Sunderer</t>
        </is>
      </c>
      <c r="D196" s="55" t="inlineStr">
        <is>
          <t>Chaos</t>
        </is>
      </c>
      <c r="E196" s="55" t="inlineStr">
        <is>
          <t>Unit</t>
        </is>
      </c>
      <c r="F196" s="55" t="inlineStr">
        <is>
          <t>10</t>
        </is>
      </c>
      <c r="G196" s="55" t="inlineStr">
        <is>
          <t>6</t>
        </is>
      </c>
      <c r="H196" s="55" t="inlineStr">
        <is>
          <t>Rare</t>
        </is>
      </c>
      <c r="I196" s="55" t="inlineStr">
        <is>
          <t>Shadow Isles;Spirit</t>
        </is>
      </c>
      <c r="J196" s="11" t="inlineStr">
        <is>
          <t>I cost 1 less for each card in your trash.</t>
        </is>
      </c>
    </row>
    <row r="197" ht="15" customHeight="1">
      <c r="A197" s="24" t="inlineStr">
        <is>
          <t>OGN-196</t>
        </is>
      </c>
      <c r="B197" s="24" t="inlineStr"/>
      <c r="C197" s="24" t="inlineStr">
        <is>
          <t>Soulgorger</t>
        </is>
      </c>
      <c r="D197" s="24" t="inlineStr">
        <is>
          <t>Chaos</t>
        </is>
      </c>
      <c r="E197" s="24" t="inlineStr">
        <is>
          <t>Unit</t>
        </is>
      </c>
      <c r="F197" s="24" t="inlineStr">
        <is>
          <t>8</t>
        </is>
      </c>
      <c r="G197" s="24" t="inlineStr">
        <is>
          <t>5</t>
        </is>
      </c>
      <c r="H197" s="24" t="inlineStr">
        <is>
          <t>Rare</t>
        </is>
      </c>
      <c r="I197" s="24" t="inlineStr">
        <is>
          <t>Shadow Isles;Spirit</t>
        </is>
      </c>
      <c r="J197" s="25" t="inlineStr">
        <is>
          <t>When you play me, you may play a unit from your trash, ignoring its Energy cost. (You must still pay its Power cost.)</t>
        </is>
      </c>
    </row>
    <row r="198" ht="15" customHeight="1">
      <c r="A198" s="24" t="inlineStr">
        <is>
          <t>OGN-197</t>
        </is>
      </c>
      <c r="B198" s="24" t="inlineStr"/>
      <c r="C198" s="24" t="inlineStr">
        <is>
          <t>Teemo - Scout</t>
        </is>
      </c>
      <c r="D198" s="24" t="inlineStr">
        <is>
          <t>Chaos</t>
        </is>
      </c>
      <c r="E198" s="24" t="inlineStr">
        <is>
          <t>Champion Unit</t>
        </is>
      </c>
      <c r="F198" s="24" t="inlineStr">
        <is>
          <t>2</t>
        </is>
      </c>
      <c r="G198" s="24" t="inlineStr">
        <is>
          <t>1</t>
        </is>
      </c>
      <c r="H198" s="24" t="inlineStr">
        <is>
          <t>Rare</t>
        </is>
      </c>
      <c r="I198" s="24" t="inlineStr">
        <is>
          <t>Bandle City;Teemo;Yordle</t>
        </is>
      </c>
      <c r="J198" s="25" t="inlineStr">
        <is>
          <t>HIDDEN (Hide now for 1 Rune to react with later for 0.)When you play me, give me +3 Might this turn.</t>
        </is>
      </c>
    </row>
    <row r="199" ht="15" customHeight="1">
      <c r="A199" s="24" t="inlineStr">
        <is>
          <t>OGN-198</t>
        </is>
      </c>
      <c r="B199" s="24" t="inlineStr"/>
      <c r="C199" s="24" t="inlineStr">
        <is>
          <t>The Harrowing</t>
        </is>
      </c>
      <c r="D199" s="24" t="inlineStr">
        <is>
          <t>Chaos</t>
        </is>
      </c>
      <c r="E199" s="24" t="inlineStr">
        <is>
          <t>Spell</t>
        </is>
      </c>
      <c r="F199" s="24" t="inlineStr">
        <is>
          <t>6</t>
        </is>
      </c>
      <c r="G199" s="24" t="inlineStr">
        <is>
          <t>0</t>
        </is>
      </c>
      <c r="H199" s="24" t="inlineStr">
        <is>
          <t>Rare</t>
        </is>
      </c>
      <c r="I199" s="24" t="inlineStr"/>
      <c r="J199" s="25" t="inlineStr">
        <is>
          <t>Play a unit from your trash, ignoring its Energy cost. (You must still pay its Power cost.)</t>
        </is>
      </c>
    </row>
    <row r="200" ht="15" customHeight="1">
      <c r="A200" s="24" t="inlineStr">
        <is>
          <t>OGN-199</t>
        </is>
      </c>
      <c r="B200" s="24" t="inlineStr"/>
      <c r="C200" s="24" t="inlineStr">
        <is>
          <t>Tideturner</t>
        </is>
      </c>
      <c r="D200" s="24" t="inlineStr">
        <is>
          <t>Chaos</t>
        </is>
      </c>
      <c r="E200" s="24" t="inlineStr">
        <is>
          <t>Unit</t>
        </is>
      </c>
      <c r="F200" s="24" t="inlineStr">
        <is>
          <t>2</t>
        </is>
      </c>
      <c r="G200" s="24" t="inlineStr">
        <is>
          <t>2</t>
        </is>
      </c>
      <c r="H200" s="24" t="inlineStr">
        <is>
          <t>Rare</t>
        </is>
      </c>
      <c r="I200" s="24" t="inlineStr">
        <is>
          <t>Bilgewater</t>
        </is>
      </c>
      <c r="J200" s="25" t="inlineStr">
        <is>
          <t>HIDDEN (Hide now for 1 Rune to react with later for 0.)
When you play me, you may choose a friendly unit. Move me to its location and it to my original location.</t>
        </is>
      </c>
    </row>
    <row r="201" ht="15" customHeight="1">
      <c r="A201" s="24" t="inlineStr">
        <is>
          <t>OGN-200</t>
        </is>
      </c>
      <c r="B201" s="24" t="inlineStr"/>
      <c r="C201" s="24" t="inlineStr">
        <is>
          <t>Twisted Fate - Gambler</t>
        </is>
      </c>
      <c r="D201" s="24" t="inlineStr">
        <is>
          <t>Chaos</t>
        </is>
      </c>
      <c r="E201" s="24" t="inlineStr">
        <is>
          <t>Champion Unit</t>
        </is>
      </c>
      <c r="F201" s="24" t="inlineStr">
        <is>
          <t>4</t>
        </is>
      </c>
      <c r="G201" s="24" t="inlineStr">
        <is>
          <t>4</t>
        </is>
      </c>
      <c r="H201" s="24" t="inlineStr">
        <is>
          <t>Rare</t>
        </is>
      </c>
      <c r="I201" s="24" t="inlineStr">
        <is>
          <t>Bilgewater;Twisted Fate</t>
        </is>
      </c>
      <c r="J201" s="25" t="inlineStr">
        <is>
          <t>When I attack, reveal the top rune of your rune deck, then recycle it. Do one of the following based on its domain:Fury - Deal 2 to an enemy unit here and 1 to all other enemy units here.Mind - Draw 1.Order - Stun an enemy unit.</t>
        </is>
      </c>
    </row>
    <row r="202" ht="15" customHeight="1">
      <c r="A202" s="55" t="inlineStr">
        <is>
          <t>OGN-201</t>
        </is>
      </c>
      <c r="B202" s="55" t="n">
        <v>1</v>
      </c>
      <c r="C202" s="55" t="inlineStr">
        <is>
          <t>Invert Timelines</t>
        </is>
      </c>
      <c r="D202" s="55" t="inlineStr">
        <is>
          <t>Chaos</t>
        </is>
      </c>
      <c r="E202" s="55" t="inlineStr">
        <is>
          <t>Spell</t>
        </is>
      </c>
      <c r="F202" s="55" t="inlineStr">
        <is>
          <t>3</t>
        </is>
      </c>
      <c r="G202" s="55" t="inlineStr">
        <is>
          <t>0</t>
        </is>
      </c>
      <c r="H202" s="55" t="inlineStr">
        <is>
          <t>Epic</t>
        </is>
      </c>
      <c r="I202" s="55" t="inlineStr"/>
      <c r="J202" s="11" t="inlineStr">
        <is>
          <t>Each player discards their hand, then draws 4.</t>
        </is>
      </c>
    </row>
    <row r="203" ht="15" customHeight="1">
      <c r="A203" s="24" t="inlineStr">
        <is>
          <t>OGN-202</t>
        </is>
      </c>
      <c r="B203" s="24" t="inlineStr"/>
      <c r="C203" s="24" t="inlineStr">
        <is>
          <t>Jinx - Rebel</t>
        </is>
      </c>
      <c r="D203" s="24" t="inlineStr">
        <is>
          <t>Chaos</t>
        </is>
      </c>
      <c r="E203" s="24" t="inlineStr">
        <is>
          <t>Champion Unit</t>
        </is>
      </c>
      <c r="F203" s="24" t="inlineStr">
        <is>
          <t>5</t>
        </is>
      </c>
      <c r="G203" s="24" t="inlineStr">
        <is>
          <t>5</t>
        </is>
      </c>
      <c r="H203" s="24" t="inlineStr">
        <is>
          <t>Epic</t>
        </is>
      </c>
      <c r="I203" s="24" t="inlineStr">
        <is>
          <t>Jinx;Zaun</t>
        </is>
      </c>
      <c r="J203" s="25" t="inlineStr">
        <is>
          <t>When you discard one or more cards, ready me and give me +1 Might this turn.</t>
        </is>
      </c>
    </row>
    <row r="204" ht="15" customHeight="1">
      <c r="A204" s="24" t="inlineStr">
        <is>
          <t>OGN-203</t>
        </is>
      </c>
      <c r="B204" s="24" t="inlineStr"/>
      <c r="C204" s="24" t="inlineStr">
        <is>
          <t>Possession</t>
        </is>
      </c>
      <c r="D204" s="24" t="inlineStr">
        <is>
          <t>Chaos</t>
        </is>
      </c>
      <c r="E204" s="24" t="inlineStr">
        <is>
          <t>Spell</t>
        </is>
      </c>
      <c r="F204" s="24" t="inlineStr">
        <is>
          <t>8</t>
        </is>
      </c>
      <c r="G204" s="24" t="inlineStr">
        <is>
          <t>0</t>
        </is>
      </c>
      <c r="H204" s="24" t="inlineStr">
        <is>
          <t>Epic</t>
        </is>
      </c>
      <c r="I204" s="24" t="inlineStr"/>
      <c r="J204" s="25" t="inlineStr">
        <is>
          <t>ACTION (Play on your turn or in showdowns.)Choose an enemy unit at a battlefield. Take control of it and recall it. (Send it to your base. This isn't a move.)</t>
        </is>
      </c>
    </row>
    <row r="205" ht="15" customHeight="1">
      <c r="A205" s="24" t="inlineStr">
        <is>
          <t>OGN-204</t>
        </is>
      </c>
      <c r="B205" s="24" t="inlineStr"/>
      <c r="C205" s="24" t="inlineStr">
        <is>
          <t>Seal of Discord</t>
        </is>
      </c>
      <c r="D205" s="24" t="inlineStr">
        <is>
          <t>Chaos</t>
        </is>
      </c>
      <c r="E205" s="24" t="inlineStr">
        <is>
          <t>Gear</t>
        </is>
      </c>
      <c r="F205" s="24" t="inlineStr">
        <is>
          <t>0</t>
        </is>
      </c>
      <c r="G205" s="24" t="inlineStr">
        <is>
          <t>0</t>
        </is>
      </c>
      <c r="H205" s="24" t="inlineStr">
        <is>
          <t>Epic</t>
        </is>
      </c>
      <c r="I205" s="24" t="inlineStr"/>
      <c r="J205" s="25" t="inlineStr">
        <is>
          <t>Exhaust: REACTION - ADD chaos. (Abilities that add resources can't be reacted to.)</t>
        </is>
      </c>
    </row>
    <row r="206" ht="15" customHeight="1">
      <c r="A206" s="24" t="inlineStr">
        <is>
          <t>OGN-205</t>
        </is>
      </c>
      <c r="B206" s="24" t="inlineStr"/>
      <c r="C206" s="24" t="inlineStr">
        <is>
          <t>Yasuo - Windrider</t>
        </is>
      </c>
      <c r="D206" s="24" t="inlineStr">
        <is>
          <t>Chaos</t>
        </is>
      </c>
      <c r="E206" s="24" t="inlineStr">
        <is>
          <t>Champion Unit</t>
        </is>
      </c>
      <c r="F206" s="24" t="inlineStr">
        <is>
          <t>5</t>
        </is>
      </c>
      <c r="G206" s="24" t="inlineStr">
        <is>
          <t>4</t>
        </is>
      </c>
      <c r="H206" s="24" t="inlineStr">
        <is>
          <t>Epic</t>
        </is>
      </c>
      <c r="I206" s="24" t="inlineStr">
        <is>
          <t>Ionia;Yasuo</t>
        </is>
      </c>
      <c r="J206" s="25" t="inlineStr">
        <is>
          <t>GANKING (I can move from battlefield to battlefield.)The third time I move in a turn, you score 1 point.</t>
        </is>
      </c>
    </row>
    <row r="207" ht="15" customHeight="1">
      <c r="A207" s="58" t="inlineStr">
        <is>
          <t>OGN-206</t>
        </is>
      </c>
      <c r="B207" s="58" t="n">
        <v>3</v>
      </c>
      <c r="C207" s="58" t="inlineStr">
        <is>
          <t>Back to Back</t>
        </is>
      </c>
      <c r="D207" s="58" t="inlineStr">
        <is>
          <t>Order</t>
        </is>
      </c>
      <c r="E207" s="58" t="inlineStr">
        <is>
          <t>Spell</t>
        </is>
      </c>
      <c r="F207" s="58" t="inlineStr">
        <is>
          <t>3</t>
        </is>
      </c>
      <c r="G207" s="58" t="inlineStr">
        <is>
          <t>0</t>
        </is>
      </c>
      <c r="H207" s="58" t="inlineStr">
        <is>
          <t>Common</t>
        </is>
      </c>
      <c r="I207" s="58" t="inlineStr"/>
      <c r="J207" s="13" t="inlineStr">
        <is>
          <t>REACTION (Play any time, even before spells and abilities resolve.)
Give two friendly units each +2 Might this turn.</t>
        </is>
      </c>
    </row>
    <row r="208" ht="15" customHeight="1">
      <c r="A208" s="58" t="inlineStr">
        <is>
          <t>OGN-207</t>
        </is>
      </c>
      <c r="B208" s="58" t="n">
        <v>1</v>
      </c>
      <c r="C208" s="58" t="inlineStr">
        <is>
          <t>Call to Glory</t>
        </is>
      </c>
      <c r="D208" s="58" t="inlineStr">
        <is>
          <t>Order</t>
        </is>
      </c>
      <c r="E208" s="58" t="inlineStr">
        <is>
          <t>Spell</t>
        </is>
      </c>
      <c r="F208" s="58" t="inlineStr">
        <is>
          <t>3</t>
        </is>
      </c>
      <c r="G208" s="58" t="inlineStr">
        <is>
          <t>0</t>
        </is>
      </c>
      <c r="H208" s="58" t="inlineStr">
        <is>
          <t>Common</t>
        </is>
      </c>
      <c r="I208" s="58" t="inlineStr"/>
      <c r="J208" s="13" t="inlineStr">
        <is>
          <t>REACTION (Play any time, even before spells and abilities resolve.)
As you play this, you may spend a buff as an additional cost. If you do, ignore this spell's cost.
Give a unit +3 Might this turn.</t>
        </is>
      </c>
    </row>
    <row r="209" ht="15" customHeight="1">
      <c r="A209" s="58" t="inlineStr">
        <is>
          <t>OGN-208</t>
        </is>
      </c>
      <c r="B209" s="58" t="n">
        <v>3</v>
      </c>
      <c r="C209" s="58" t="inlineStr">
        <is>
          <t>Cruel Patron</t>
        </is>
      </c>
      <c r="D209" s="58" t="inlineStr">
        <is>
          <t>Order</t>
        </is>
      </c>
      <c r="E209" s="58" t="inlineStr">
        <is>
          <t>Unit</t>
        </is>
      </c>
      <c r="F209" s="58" t="inlineStr">
        <is>
          <t>4</t>
        </is>
      </c>
      <c r="G209" s="58" t="inlineStr">
        <is>
          <t>6</t>
        </is>
      </c>
      <c r="H209" s="58" t="inlineStr">
        <is>
          <t>Common</t>
        </is>
      </c>
      <c r="I209" s="58" t="inlineStr">
        <is>
          <t>Noxus</t>
        </is>
      </c>
      <c r="J209" s="13" t="inlineStr">
        <is>
          <t>As an additional cost to play me, kill a friendly unit.</t>
        </is>
      </c>
    </row>
    <row r="210" ht="15" customHeight="1">
      <c r="A210" s="58" t="inlineStr">
        <is>
          <t>OGN-209</t>
        </is>
      </c>
      <c r="B210" s="58" t="n">
        <v>3</v>
      </c>
      <c r="C210" s="58" t="inlineStr">
        <is>
          <t>Cull the Weak</t>
        </is>
      </c>
      <c r="D210" s="58" t="inlineStr">
        <is>
          <t>Order</t>
        </is>
      </c>
      <c r="E210" s="58" t="inlineStr">
        <is>
          <t>Spell</t>
        </is>
      </c>
      <c r="F210" s="58" t="inlineStr">
        <is>
          <t>2</t>
        </is>
      </c>
      <c r="G210" s="58" t="inlineStr">
        <is>
          <t>0</t>
        </is>
      </c>
      <c r="H210" s="58" t="inlineStr">
        <is>
          <t>Common</t>
        </is>
      </c>
      <c r="I210" s="58" t="inlineStr"/>
      <c r="J210" s="13" t="inlineStr">
        <is>
          <t>Each player kills one of their units.</t>
        </is>
      </c>
    </row>
    <row r="211" ht="15" customHeight="1">
      <c r="A211" s="26" t="inlineStr">
        <is>
          <t>OGN-210</t>
        </is>
      </c>
      <c r="B211" s="26" t="inlineStr"/>
      <c r="C211" s="26" t="inlineStr">
        <is>
          <t>Daring Poro</t>
        </is>
      </c>
      <c r="D211" s="26" t="inlineStr">
        <is>
          <t>Order</t>
        </is>
      </c>
      <c r="E211" s="26" t="inlineStr">
        <is>
          <t>Unit</t>
        </is>
      </c>
      <c r="F211" s="26" t="inlineStr">
        <is>
          <t>2</t>
        </is>
      </c>
      <c r="G211" s="26" t="inlineStr">
        <is>
          <t>2</t>
        </is>
      </c>
      <c r="H211" s="26" t="inlineStr">
        <is>
          <t>Common</t>
        </is>
      </c>
      <c r="I211" s="26" t="inlineStr">
        <is>
          <t>Poro</t>
        </is>
      </c>
      <c r="J211" s="27" t="inlineStr">
        <is>
          <t>ASSAULT (+1 Might while I'm an attacker.)</t>
        </is>
      </c>
    </row>
    <row r="212" ht="15" customHeight="1">
      <c r="A212" s="26" t="inlineStr">
        <is>
          <t>OGN-211</t>
        </is>
      </c>
      <c r="B212" s="26" t="inlineStr"/>
      <c r="C212" s="26" t="inlineStr">
        <is>
          <t>Faithful Manufactor</t>
        </is>
      </c>
      <c r="D212" s="26" t="inlineStr">
        <is>
          <t>Order</t>
        </is>
      </c>
      <c r="E212" s="26" t="inlineStr">
        <is>
          <t>Unit</t>
        </is>
      </c>
      <c r="F212" s="26" t="inlineStr">
        <is>
          <t>3</t>
        </is>
      </c>
      <c r="G212" s="26" t="inlineStr">
        <is>
          <t>2</t>
        </is>
      </c>
      <c r="H212" s="26" t="inlineStr">
        <is>
          <t>Common</t>
        </is>
      </c>
      <c r="I212" s="26" t="inlineStr">
        <is>
          <t>Piltover</t>
        </is>
      </c>
      <c r="J212" s="27" t="inlineStr">
        <is>
          <t>When you play me, play a 1 Might Recruit unit token here.</t>
        </is>
      </c>
    </row>
    <row r="213" ht="15" customHeight="1">
      <c r="A213" s="26" t="inlineStr">
        <is>
          <t>OGN-212</t>
        </is>
      </c>
      <c r="B213" s="26" t="inlineStr"/>
      <c r="C213" s="26" t="inlineStr">
        <is>
          <t>Forge of the Future</t>
        </is>
      </c>
      <c r="D213" s="26" t="inlineStr">
        <is>
          <t>Order</t>
        </is>
      </c>
      <c r="E213" s="26" t="inlineStr">
        <is>
          <t>Gear</t>
        </is>
      </c>
      <c r="F213" s="26" t="inlineStr">
        <is>
          <t>2</t>
        </is>
      </c>
      <c r="G213" s="26" t="inlineStr">
        <is>
          <t>0</t>
        </is>
      </c>
      <c r="H213" s="26" t="inlineStr">
        <is>
          <t>Common</t>
        </is>
      </c>
      <c r="I213" s="26" t="inlineStr"/>
      <c r="J213" s="27" t="inlineStr">
        <is>
          <t>When you play this, play a 1 Might Recruit unit token at your base.
Kill this: Recycle up to 4 cards from trashes.</t>
        </is>
      </c>
    </row>
    <row r="214" ht="15" customHeight="1">
      <c r="A214" s="58" t="inlineStr">
        <is>
          <t>OGN-213</t>
        </is>
      </c>
      <c r="B214" s="58" t="n">
        <v>2</v>
      </c>
      <c r="C214" s="58" t="inlineStr">
        <is>
          <t>Hidden Blade</t>
        </is>
      </c>
      <c r="D214" s="58" t="inlineStr">
        <is>
          <t>Order</t>
        </is>
      </c>
      <c r="E214" s="58" t="inlineStr">
        <is>
          <t>Spell</t>
        </is>
      </c>
      <c r="F214" s="58" t="inlineStr">
        <is>
          <t>2</t>
        </is>
      </c>
      <c r="G214" s="58" t="inlineStr">
        <is>
          <t>0</t>
        </is>
      </c>
      <c r="H214" s="58" t="inlineStr">
        <is>
          <t>Common</t>
        </is>
      </c>
      <c r="I214" s="58" t="inlineStr"/>
      <c r="J214" s="13" t="inlineStr">
        <is>
          <t>HIDDEN (Hide now for 1 Rune to react with later for 0.)
ACTION (Play on your turn or in showdowns.)
Kill a unit at a battlefield. Its controller draws 2.</t>
        </is>
      </c>
    </row>
    <row r="215" ht="15" customHeight="1">
      <c r="A215" s="26" t="inlineStr">
        <is>
          <t>OGN-214</t>
        </is>
      </c>
      <c r="B215" s="26" t="inlineStr"/>
      <c r="C215" s="26" t="inlineStr">
        <is>
          <t>Order Rune</t>
        </is>
      </c>
      <c r="D215" s="26" t="inlineStr">
        <is>
          <t>Order</t>
        </is>
      </c>
      <c r="E215" s="26" t="inlineStr">
        <is>
          <t>Rune</t>
        </is>
      </c>
      <c r="F215" s="26" t="inlineStr">
        <is>
          <t>0</t>
        </is>
      </c>
      <c r="G215" s="26" t="inlineStr">
        <is>
          <t>0</t>
        </is>
      </c>
      <c r="H215" s="26" t="inlineStr">
        <is>
          <t>Common</t>
        </is>
      </c>
      <c r="I215" s="26" t="inlineStr"/>
      <c r="J215" s="27" t="inlineStr"/>
    </row>
    <row r="216" ht="15" customHeight="1">
      <c r="A216" s="26" t="inlineStr">
        <is>
          <t>OGN-215</t>
        </is>
      </c>
      <c r="B216" s="26" t="inlineStr"/>
      <c r="C216" s="26" t="inlineStr">
        <is>
          <t>Petty Officer</t>
        </is>
      </c>
      <c r="D216" s="26" t="inlineStr">
        <is>
          <t>Order</t>
        </is>
      </c>
      <c r="E216" s="26" t="inlineStr">
        <is>
          <t>Unit</t>
        </is>
      </c>
      <c r="F216" s="26" t="inlineStr">
        <is>
          <t>5</t>
        </is>
      </c>
      <c r="G216" s="26" t="inlineStr">
        <is>
          <t>5</t>
        </is>
      </c>
      <c r="H216" s="26" t="inlineStr">
        <is>
          <t>Common</t>
        </is>
      </c>
      <c r="I216" s="26" t="inlineStr">
        <is>
          <t>Bilgewater;Pirate</t>
        </is>
      </c>
      <c r="J216" s="27" t="inlineStr">
        <is>
          <t>ASSAULT (+1 Might while I'm an attacker.)</t>
        </is>
      </c>
    </row>
    <row r="217" ht="15" customHeight="1">
      <c r="A217" s="58" t="inlineStr">
        <is>
          <t>OGN-216</t>
        </is>
      </c>
      <c r="B217" s="58" t="n">
        <v>3</v>
      </c>
      <c r="C217" s="58" t="inlineStr">
        <is>
          <t>Soaring Scout</t>
        </is>
      </c>
      <c r="D217" s="58" t="inlineStr">
        <is>
          <t>Order</t>
        </is>
      </c>
      <c r="E217" s="58" t="inlineStr">
        <is>
          <t>Unit</t>
        </is>
      </c>
      <c r="F217" s="58" t="inlineStr">
        <is>
          <t>2</t>
        </is>
      </c>
      <c r="G217" s="58" t="inlineStr">
        <is>
          <t>1</t>
        </is>
      </c>
      <c r="H217" s="58" t="inlineStr">
        <is>
          <t>Common</t>
        </is>
      </c>
      <c r="I217" s="58" t="inlineStr">
        <is>
          <t>Bird;Freljord</t>
        </is>
      </c>
      <c r="J217" s="13" t="inlineStr">
        <is>
          <t>DEATHKNELL - Channel 1 rune exhausted. (When I die, get the effect.)</t>
        </is>
      </c>
    </row>
    <row r="218" ht="15" customHeight="1">
      <c r="A218" s="26" t="inlineStr">
        <is>
          <t>OGN-217</t>
        </is>
      </c>
      <c r="B218" s="26" t="inlineStr"/>
      <c r="C218" s="26" t="inlineStr">
        <is>
          <t>Trifarian Gloryseeker</t>
        </is>
      </c>
      <c r="D218" s="26" t="inlineStr">
        <is>
          <t>Order</t>
        </is>
      </c>
      <c r="E218" s="26" t="inlineStr">
        <is>
          <t>Unit</t>
        </is>
      </c>
      <c r="F218" s="26" t="inlineStr">
        <is>
          <t>2</t>
        </is>
      </c>
      <c r="G218" s="26" t="inlineStr">
        <is>
          <t>2</t>
        </is>
      </c>
      <c r="H218" s="26" t="inlineStr">
        <is>
          <t>Common</t>
        </is>
      </c>
      <c r="I218" s="26" t="inlineStr">
        <is>
          <t>Noxus;Trifarian</t>
        </is>
      </c>
      <c r="J218" s="27" t="inlineStr">
        <is>
          <t>LEGION When you play me, buff me. (If I don't have a buff, I get a +1 Might buff. Get the effect if you've played another card this turn.)</t>
        </is>
      </c>
    </row>
    <row r="219" ht="15" customHeight="1">
      <c r="A219" s="26" t="inlineStr">
        <is>
          <t>OGN-218</t>
        </is>
      </c>
      <c r="B219" s="26" t="inlineStr"/>
      <c r="C219" s="26" t="inlineStr">
        <is>
          <t>Vanguard Captain</t>
        </is>
      </c>
      <c r="D219" s="26" t="inlineStr">
        <is>
          <t>Order</t>
        </is>
      </c>
      <c r="E219" s="26" t="inlineStr">
        <is>
          <t>Unit</t>
        </is>
      </c>
      <c r="F219" s="26" t="inlineStr">
        <is>
          <t>3</t>
        </is>
      </c>
      <c r="G219" s="26" t="inlineStr">
        <is>
          <t>3</t>
        </is>
      </c>
      <c r="H219" s="26" t="inlineStr">
        <is>
          <t>Common</t>
        </is>
      </c>
      <c r="I219" s="26" t="inlineStr">
        <is>
          <t>Demacia;Elite</t>
        </is>
      </c>
      <c r="J219" s="27" t="inlineStr">
        <is>
          <t>LEGION - When you play me, play two 1 Might Recruit unit token here. (Get the effect if you've played another card this turn.)</t>
        </is>
      </c>
    </row>
    <row r="220" ht="15" customHeight="1">
      <c r="A220" s="26" t="inlineStr">
        <is>
          <t>OGN-219</t>
        </is>
      </c>
      <c r="B220" s="26" t="inlineStr"/>
      <c r="C220" s="26" t="inlineStr">
        <is>
          <t>Vanguard Sergeant</t>
        </is>
      </c>
      <c r="D220" s="26" t="inlineStr">
        <is>
          <t>Order</t>
        </is>
      </c>
      <c r="E220" s="26" t="inlineStr">
        <is>
          <t>Unit</t>
        </is>
      </c>
      <c r="F220" s="26" t="inlineStr">
        <is>
          <t>4</t>
        </is>
      </c>
      <c r="G220" s="26" t="inlineStr">
        <is>
          <t>4</t>
        </is>
      </c>
      <c r="H220" s="26" t="inlineStr">
        <is>
          <t>Common</t>
        </is>
      </c>
      <c r="I220" s="26" t="inlineStr">
        <is>
          <t>Demacia;Elite</t>
        </is>
      </c>
      <c r="J220" s="27" t="inlineStr"/>
    </row>
    <row r="221" ht="15" customHeight="1">
      <c r="A221" s="58" t="inlineStr">
        <is>
          <t>OGN-220</t>
        </is>
      </c>
      <c r="B221" s="58" t="n">
        <v>1</v>
      </c>
      <c r="C221" s="58" t="inlineStr">
        <is>
          <t>Facebreaker</t>
        </is>
      </c>
      <c r="D221" s="58" t="inlineStr">
        <is>
          <t>Order</t>
        </is>
      </c>
      <c r="E221" s="58" t="inlineStr">
        <is>
          <t>Spell</t>
        </is>
      </c>
      <c r="F221" s="58" t="inlineStr">
        <is>
          <t>2</t>
        </is>
      </c>
      <c r="G221" s="58" t="inlineStr">
        <is>
          <t>0</t>
        </is>
      </c>
      <c r="H221" s="58" t="inlineStr">
        <is>
          <t>Uncommon</t>
        </is>
      </c>
      <c r="I221" s="58" t="inlineStr"/>
      <c r="J221" s="13" t="inlineStr">
        <is>
          <t>HIDDEN (Hide now for 1 Rune to react with later for 0.)
ACTION (Play on your turn or in showdowns.)
Stun a friendly unit and an enemy unit at the same battlefield. (They don't deal combat damage this turn.)</t>
        </is>
      </c>
    </row>
    <row r="222" ht="15" customHeight="1">
      <c r="A222" s="26" t="inlineStr">
        <is>
          <t>OGN-221</t>
        </is>
      </c>
      <c r="B222" s="26" t="inlineStr"/>
      <c r="C222" s="26" t="inlineStr">
        <is>
          <t>Imperial Decree</t>
        </is>
      </c>
      <c r="D222" s="26" t="inlineStr">
        <is>
          <t>Order</t>
        </is>
      </c>
      <c r="E222" s="26" t="inlineStr">
        <is>
          <t>Spell</t>
        </is>
      </c>
      <c r="F222" s="26" t="inlineStr">
        <is>
          <t>5</t>
        </is>
      </c>
      <c r="G222" s="26" t="inlineStr">
        <is>
          <t>0</t>
        </is>
      </c>
      <c r="H222" s="26" t="inlineStr">
        <is>
          <t>Uncommon</t>
        </is>
      </c>
      <c r="I222" s="26" t="inlineStr"/>
      <c r="J222" s="27" t="inlineStr">
        <is>
          <t>ACTION (Play on your turn or in showdowns.) When any unit takes damage this turn, kill it.</t>
        </is>
      </c>
    </row>
    <row r="223" ht="15" customHeight="1">
      <c r="A223" s="58" t="inlineStr">
        <is>
          <t>OGN-222</t>
        </is>
      </c>
      <c r="B223" s="58" t="n">
        <v>3</v>
      </c>
      <c r="C223" s="58" t="inlineStr">
        <is>
          <t>Noxian Drummer</t>
        </is>
      </c>
      <c r="D223" s="58" t="inlineStr">
        <is>
          <t>Order</t>
        </is>
      </c>
      <c r="E223" s="58" t="inlineStr">
        <is>
          <t>Unit</t>
        </is>
      </c>
      <c r="F223" s="58" t="inlineStr">
        <is>
          <t>3</t>
        </is>
      </c>
      <c r="G223" s="58" t="inlineStr">
        <is>
          <t>3</t>
        </is>
      </c>
      <c r="H223" s="58" t="inlineStr">
        <is>
          <t>Uncommon</t>
        </is>
      </c>
      <c r="I223" s="58" t="inlineStr">
        <is>
          <t>Noxus;Trifarian</t>
        </is>
      </c>
      <c r="J223" s="13" t="inlineStr">
        <is>
          <t>When I move to a battlefield, play a 1 Might Recruit unit token here. (It is also at the battlefield.)</t>
        </is>
      </c>
    </row>
    <row r="224" ht="15" customHeight="1">
      <c r="A224" s="26" t="inlineStr">
        <is>
          <t>OGN-223</t>
        </is>
      </c>
      <c r="B224" s="26" t="inlineStr"/>
      <c r="C224" s="26" t="inlineStr">
        <is>
          <t>Peak Guardian</t>
        </is>
      </c>
      <c r="D224" s="26" t="inlineStr">
        <is>
          <t>Order</t>
        </is>
      </c>
      <c r="E224" s="26" t="inlineStr">
        <is>
          <t>Unit</t>
        </is>
      </c>
      <c r="F224" s="26" t="inlineStr">
        <is>
          <t>6</t>
        </is>
      </c>
      <c r="G224" s="26" t="inlineStr">
        <is>
          <t>5</t>
        </is>
      </c>
      <c r="H224" s="26" t="inlineStr">
        <is>
          <t>Uncommon</t>
        </is>
      </c>
      <c r="I224" s="26" t="inlineStr">
        <is>
          <t>Mount Targon</t>
        </is>
      </c>
      <c r="J224" s="27" t="inlineStr">
        <is>
          <t>When you play me, buff me. Then, if I am at a battlefield, buff all other friendly units there. (To buff a unit give it a +1 Might if it doesn't already have one.)</t>
        </is>
      </c>
    </row>
    <row r="225" ht="15" customHeight="1">
      <c r="A225" s="26" t="inlineStr">
        <is>
          <t>OGN-224</t>
        </is>
      </c>
      <c r="B225" s="26" t="inlineStr"/>
      <c r="C225" s="26" t="inlineStr">
        <is>
          <t>Salvage</t>
        </is>
      </c>
      <c r="D225" s="26" t="inlineStr">
        <is>
          <t>Order</t>
        </is>
      </c>
      <c r="E225" s="26" t="inlineStr">
        <is>
          <t>Spell</t>
        </is>
      </c>
      <c r="F225" s="26" t="inlineStr">
        <is>
          <t>2</t>
        </is>
      </c>
      <c r="G225" s="26" t="inlineStr">
        <is>
          <t>0</t>
        </is>
      </c>
      <c r="H225" s="26" t="inlineStr">
        <is>
          <t>Uncommon</t>
        </is>
      </c>
      <c r="I225" s="26" t="inlineStr"/>
      <c r="J225" s="27" t="inlineStr">
        <is>
          <t>ACTION (Play on your turn or in showdowns.)
You may kill a gear. Draw 1.</t>
        </is>
      </c>
    </row>
    <row r="226" ht="15" customHeight="1">
      <c r="A226" s="26" t="inlineStr">
        <is>
          <t>OGN-225</t>
        </is>
      </c>
      <c r="B226" s="26" t="inlineStr"/>
      <c r="C226" s="26" t="inlineStr">
        <is>
          <t>Solari Chief</t>
        </is>
      </c>
      <c r="D226" s="26" t="inlineStr">
        <is>
          <t>Order</t>
        </is>
      </c>
      <c r="E226" s="26" t="inlineStr">
        <is>
          <t>Unit</t>
        </is>
      </c>
      <c r="F226" s="26" t="inlineStr">
        <is>
          <t>5</t>
        </is>
      </c>
      <c r="G226" s="26" t="inlineStr">
        <is>
          <t>4</t>
        </is>
      </c>
      <c r="H226" s="26" t="inlineStr">
        <is>
          <t>Uncommon</t>
        </is>
      </c>
      <c r="I226" s="26" t="inlineStr">
        <is>
          <t>Mount Targon</t>
        </is>
      </c>
      <c r="J226" s="27" t="inlineStr">
        <is>
          <t>When you play me, choose an enemy unit. If it is stunned, kill it. Otherwise, stun it. (It doesn't deal combat damage this turn.)</t>
        </is>
      </c>
    </row>
    <row r="227" ht="15" customHeight="1">
      <c r="A227" s="58" t="inlineStr">
        <is>
          <t>OGN-226</t>
        </is>
      </c>
      <c r="B227" s="58" t="n">
        <v>3</v>
      </c>
      <c r="C227" s="58" t="inlineStr">
        <is>
          <t>Spectral Matron</t>
        </is>
      </c>
      <c r="D227" s="58" t="inlineStr">
        <is>
          <t>Order</t>
        </is>
      </c>
      <c r="E227" s="58" t="inlineStr">
        <is>
          <t>Unit</t>
        </is>
      </c>
      <c r="F227" s="58" t="inlineStr">
        <is>
          <t>4</t>
        </is>
      </c>
      <c r="G227" s="58" t="inlineStr">
        <is>
          <t>4</t>
        </is>
      </c>
      <c r="H227" s="58" t="inlineStr">
        <is>
          <t>Uncommon</t>
        </is>
      </c>
      <c r="I227" s="58" t="inlineStr">
        <is>
          <t>Shadow Isles;Spirit</t>
        </is>
      </c>
      <c r="J227" s="13" t="inlineStr">
        <is>
          <t>When you play me, you may play a unit costing no more than 3 and no more than rune from your trash, ignoring its cost.</t>
        </is>
      </c>
    </row>
    <row r="228" ht="15" customHeight="1">
      <c r="A228" s="26" t="inlineStr">
        <is>
          <t>OGN-227</t>
        </is>
      </c>
      <c r="B228" s="26" t="inlineStr"/>
      <c r="C228" s="26" t="inlineStr">
        <is>
          <t>Symbol of the Solari</t>
        </is>
      </c>
      <c r="D228" s="26" t="inlineStr">
        <is>
          <t>Order</t>
        </is>
      </c>
      <c r="E228" s="26" t="inlineStr">
        <is>
          <t>Gear</t>
        </is>
      </c>
      <c r="F228" s="26" t="inlineStr">
        <is>
          <t>1</t>
        </is>
      </c>
      <c r="G228" s="26" t="inlineStr">
        <is>
          <t>0</t>
        </is>
      </c>
      <c r="H228" s="26" t="inlineStr">
        <is>
          <t>Uncommon</t>
        </is>
      </c>
      <c r="I228" s="26" t="inlineStr"/>
      <c r="J228" s="27" t="inlineStr">
        <is>
          <t>If a combat where you are the attacker ends in a tie, recall ALL units instead. (Send them to base. This isn't a move. Ties are calculated after combat damage is dealt.)</t>
        </is>
      </c>
    </row>
    <row r="229" ht="15" customHeight="1">
      <c r="A229" s="58" t="inlineStr">
        <is>
          <t>OGN-228</t>
        </is>
      </c>
      <c r="B229" s="58" t="n">
        <v>2</v>
      </c>
      <c r="C229" s="58" t="inlineStr">
        <is>
          <t>Vanguard Helm</t>
        </is>
      </c>
      <c r="D229" s="58" t="inlineStr">
        <is>
          <t>Order</t>
        </is>
      </c>
      <c r="E229" s="58" t="inlineStr">
        <is>
          <t>Gear</t>
        </is>
      </c>
      <c r="F229" s="58" t="inlineStr">
        <is>
          <t>2</t>
        </is>
      </c>
      <c r="G229" s="58" t="inlineStr">
        <is>
          <t>0</t>
        </is>
      </c>
      <c r="H229" s="58" t="inlineStr">
        <is>
          <t>Uncommon</t>
        </is>
      </c>
      <c r="I229" s="58" t="inlineStr"/>
      <c r="J229" s="13" t="inlineStr">
        <is>
          <t>When a buffed friendly unit dies, buff another friendly unit. (If it doesn't have a buff, it gets a +1 Might buff.)</t>
        </is>
      </c>
    </row>
    <row r="230" ht="15" customHeight="1">
      <c r="A230" s="26" t="inlineStr">
        <is>
          <t>OGN-229</t>
        </is>
      </c>
      <c r="B230" s="26" t="inlineStr"/>
      <c r="C230" s="26" t="inlineStr">
        <is>
          <t>Vengeance</t>
        </is>
      </c>
      <c r="D230" s="26" t="inlineStr">
        <is>
          <t>Order</t>
        </is>
      </c>
      <c r="E230" s="26" t="inlineStr">
        <is>
          <t>Spell</t>
        </is>
      </c>
      <c r="F230" s="26" t="inlineStr">
        <is>
          <t>4</t>
        </is>
      </c>
      <c r="G230" s="26" t="inlineStr">
        <is>
          <t>0</t>
        </is>
      </c>
      <c r="H230" s="26" t="inlineStr">
        <is>
          <t>Uncommon</t>
        </is>
      </c>
      <c r="I230" s="26" t="inlineStr"/>
      <c r="J230" s="27" t="inlineStr">
        <is>
          <t>Kill a unit.</t>
        </is>
      </c>
    </row>
    <row r="231" ht="15" customHeight="1">
      <c r="A231" s="26" t="inlineStr">
        <is>
          <t>OGN-230</t>
        </is>
      </c>
      <c r="B231" s="26" t="inlineStr"/>
      <c r="C231" s="26" t="inlineStr">
        <is>
          <t>Albus Ferros</t>
        </is>
      </c>
      <c r="D231" s="26" t="inlineStr">
        <is>
          <t>Order</t>
        </is>
      </c>
      <c r="E231" s="26" t="inlineStr">
        <is>
          <t>Unit</t>
        </is>
      </c>
      <c r="F231" s="26" t="inlineStr">
        <is>
          <t>4</t>
        </is>
      </c>
      <c r="G231" s="26" t="inlineStr">
        <is>
          <t>3</t>
        </is>
      </c>
      <c r="H231" s="26" t="inlineStr">
        <is>
          <t>Rare</t>
        </is>
      </c>
      <c r="I231" s="26" t="inlineStr">
        <is>
          <t>Piltover</t>
        </is>
      </c>
      <c r="J231" s="27" t="inlineStr">
        <is>
          <t>When you play me, spend any number of buffs.
For each buff spent, channel 1 rune exhausted.</t>
        </is>
      </c>
    </row>
    <row r="232" ht="15" customHeight="1">
      <c r="A232" s="26" t="inlineStr">
        <is>
          <t>OGN-231</t>
        </is>
      </c>
      <c r="B232" s="26" t="inlineStr"/>
      <c r="C232" s="26" t="inlineStr">
        <is>
          <t>Commander Ledros</t>
        </is>
      </c>
      <c r="D232" s="26" t="inlineStr">
        <is>
          <t>Order</t>
        </is>
      </c>
      <c r="E232" s="26" t="inlineStr">
        <is>
          <t>Unit</t>
        </is>
      </c>
      <c r="F232" s="26" t="inlineStr">
        <is>
          <t>6</t>
        </is>
      </c>
      <c r="G232" s="26" t="inlineStr">
        <is>
          <t>8</t>
        </is>
      </c>
      <c r="H232" s="26" t="inlineStr">
        <is>
          <t>Rare</t>
        </is>
      </c>
      <c r="I232" s="26" t="inlineStr">
        <is>
          <t>Shadow Isles;Spirit</t>
        </is>
      </c>
      <c r="J232" s="27" t="inlineStr">
        <is>
          <t>As you play me, you may kill any number of friendly units as an additional cost. Reduce my cost by order for each killed this way.
DEFLECT (Opponents must pay rune to choose me with a spell or ability.)
GANKING (I can move from battlefield to battlefield.)</t>
        </is>
      </c>
    </row>
    <row r="233" ht="15" customHeight="1">
      <c r="A233" s="26" t="inlineStr">
        <is>
          <t>OGN-232</t>
        </is>
      </c>
      <c r="B233" s="26" t="inlineStr"/>
      <c r="C233" s="26" t="inlineStr">
        <is>
          <t>Fiora - Victorious</t>
        </is>
      </c>
      <c r="D233" s="26" t="inlineStr">
        <is>
          <t>Order</t>
        </is>
      </c>
      <c r="E233" s="26" t="inlineStr">
        <is>
          <t>Unit</t>
        </is>
      </c>
      <c r="F233" s="26" t="inlineStr">
        <is>
          <t>4</t>
        </is>
      </c>
      <c r="G233" s="26" t="inlineStr">
        <is>
          <t>4</t>
        </is>
      </c>
      <c r="H233" s="26" t="inlineStr">
        <is>
          <t>Rare</t>
        </is>
      </c>
      <c r="I233" s="26" t="inlineStr">
        <is>
          <t>Demacia;Fiora</t>
        </is>
      </c>
      <c r="J233" s="27" t="inlineStr">
        <is>
          <t>While I'm MIGHTY, I have DEFLECT, GANKING and SHIELD. (I'm Mighty while I have 5+ Might.)</t>
        </is>
      </c>
    </row>
    <row r="234" ht="15" customHeight="1">
      <c r="A234" s="58" t="inlineStr">
        <is>
          <t>OGN-233</t>
        </is>
      </c>
      <c r="B234" s="58" t="n">
        <v>1</v>
      </c>
      <c r="C234" s="58" t="inlineStr">
        <is>
          <t>Grand Strategem</t>
        </is>
      </c>
      <c r="D234" s="58" t="inlineStr">
        <is>
          <t>Order</t>
        </is>
      </c>
      <c r="E234" s="58" t="inlineStr">
        <is>
          <t>Spell</t>
        </is>
      </c>
      <c r="F234" s="58" t="inlineStr">
        <is>
          <t>6</t>
        </is>
      </c>
      <c r="G234" s="58" t="inlineStr">
        <is>
          <t>0</t>
        </is>
      </c>
      <c r="H234" s="58" t="inlineStr">
        <is>
          <t>Rare</t>
        </is>
      </c>
      <c r="I234" s="58" t="inlineStr"/>
      <c r="J234" s="13" t="inlineStr">
        <is>
          <t>ACTION (Play on your turn or in showdowns.)
Give friendly units +5 Might this turn.</t>
        </is>
      </c>
    </row>
    <row r="235" ht="15" customHeight="1">
      <c r="A235" s="26" t="inlineStr">
        <is>
          <t>OGN-234</t>
        </is>
      </c>
      <c r="B235" s="26" t="inlineStr"/>
      <c r="C235" s="26" t="inlineStr">
        <is>
          <t>Harnessed Dragon</t>
        </is>
      </c>
      <c r="D235" s="26" t="inlineStr">
        <is>
          <t>Order</t>
        </is>
      </c>
      <c r="E235" s="26" t="inlineStr">
        <is>
          <t>Unit</t>
        </is>
      </c>
      <c r="F235" s="26" t="inlineStr">
        <is>
          <t>8</t>
        </is>
      </c>
      <c r="G235" s="26" t="inlineStr">
        <is>
          <t>6</t>
        </is>
      </c>
      <c r="H235" s="26" t="inlineStr">
        <is>
          <t>Rare</t>
        </is>
      </c>
      <c r="I235" s="26" t="inlineStr">
        <is>
          <t>Demacia;Dragon</t>
        </is>
      </c>
      <c r="J235" s="27" t="inlineStr">
        <is>
          <t>When you play me, kill an enemy unit.</t>
        </is>
      </c>
    </row>
    <row r="236" ht="15" customHeight="1">
      <c r="A236" s="26" t="inlineStr">
        <is>
          <t>OGN-235</t>
        </is>
      </c>
      <c r="B236" s="26" t="inlineStr"/>
      <c r="C236" s="26" t="inlineStr">
        <is>
          <t>Karma - Channeler</t>
        </is>
      </c>
      <c r="D236" s="26" t="inlineStr">
        <is>
          <t>Order</t>
        </is>
      </c>
      <c r="E236" s="26" t="inlineStr">
        <is>
          <t>Champion Unit</t>
        </is>
      </c>
      <c r="F236" s="26" t="inlineStr">
        <is>
          <t>6</t>
        </is>
      </c>
      <c r="G236" s="26" t="inlineStr">
        <is>
          <t>6</t>
        </is>
      </c>
      <c r="H236" s="26" t="inlineStr">
        <is>
          <t>Rare</t>
        </is>
      </c>
      <c r="I236" s="26" t="inlineStr">
        <is>
          <t>Ionia;Karma</t>
        </is>
      </c>
      <c r="J236" s="27" t="inlineStr">
        <is>
          <t>VISION (When you play me, look at the top card of your Main Deck. You may recycle it.)When you recycle one or more cards, buff a friendly unit. (If it doesn't have a buff, it gets a +1 might buff. Runes aren't cards.)</t>
        </is>
      </c>
    </row>
    <row r="237" ht="15" customHeight="1">
      <c r="A237" s="26" t="inlineStr">
        <is>
          <t>OGN-236</t>
        </is>
      </c>
      <c r="B237" s="26" t="inlineStr"/>
      <c r="C237" s="26" t="inlineStr">
        <is>
          <t>Karthus - Eternal</t>
        </is>
      </c>
      <c r="D237" s="26" t="inlineStr">
        <is>
          <t>Order</t>
        </is>
      </c>
      <c r="E237" s="26" t="inlineStr">
        <is>
          <t>Champion Unit</t>
        </is>
      </c>
      <c r="F237" s="26" t="inlineStr">
        <is>
          <t>3</t>
        </is>
      </c>
      <c r="G237" s="26" t="inlineStr">
        <is>
          <t>3</t>
        </is>
      </c>
      <c r="H237" s="26" t="inlineStr">
        <is>
          <t>Rare</t>
        </is>
      </c>
      <c r="I237" s="26" t="inlineStr">
        <is>
          <t>Karthus;Shadow Isles;Spirit</t>
        </is>
      </c>
      <c r="J237" s="27" t="inlineStr">
        <is>
          <t>Your DEATHKNELL trigger an additional time</t>
        </is>
      </c>
    </row>
    <row r="238" ht="15" customHeight="1">
      <c r="A238" s="26" t="inlineStr">
        <is>
          <t>OGN-237</t>
        </is>
      </c>
      <c r="B238" s="26" t="inlineStr"/>
      <c r="C238" s="26" t="inlineStr">
        <is>
          <t>King's Edict</t>
        </is>
      </c>
      <c r="D238" s="26" t="inlineStr">
        <is>
          <t>Order</t>
        </is>
      </c>
      <c r="E238" s="26" t="inlineStr">
        <is>
          <t>Spell</t>
        </is>
      </c>
      <c r="F238" s="26" t="inlineStr">
        <is>
          <t>6</t>
        </is>
      </c>
      <c r="G238" s="26" t="inlineStr">
        <is>
          <t>0</t>
        </is>
      </c>
      <c r="H238" s="26" t="inlineStr">
        <is>
          <t>Rare</t>
        </is>
      </c>
      <c r="I238" s="26" t="inlineStr"/>
      <c r="J238" s="27" t="inlineStr">
        <is>
          <t>Starting with the next player, each other player chooses a unit you don't control that hasn't been chosen for this spell. Kill those units.</t>
        </is>
      </c>
    </row>
    <row r="239" ht="15" customHeight="1">
      <c r="A239" s="26" t="inlineStr">
        <is>
          <t>OGN-238</t>
        </is>
      </c>
      <c r="B239" s="26" t="inlineStr"/>
      <c r="C239" s="26" t="inlineStr">
        <is>
          <t>Leona - Determined</t>
        </is>
      </c>
      <c r="D239" s="26" t="inlineStr">
        <is>
          <t>Order</t>
        </is>
      </c>
      <c r="E239" s="26" t="inlineStr">
        <is>
          <t>Champion Unit</t>
        </is>
      </c>
      <c r="F239" s="26" t="inlineStr">
        <is>
          <t>4</t>
        </is>
      </c>
      <c r="G239" s="26" t="inlineStr">
        <is>
          <t>4</t>
        </is>
      </c>
      <c r="H239" s="26" t="inlineStr">
        <is>
          <t>Rare</t>
        </is>
      </c>
      <c r="I239" s="26" t="inlineStr">
        <is>
          <t>Leona;Mount Targon</t>
        </is>
      </c>
      <c r="J239" s="27" t="inlineStr">
        <is>
          <t>SHIELD (+1 Might while I'm a defender.)When I attack, stun an enemy unit here. (It doesn't deal combat damage this turn.)</t>
        </is>
      </c>
    </row>
    <row r="240" ht="15" customHeight="1">
      <c r="A240" s="26" t="inlineStr">
        <is>
          <t>OGN-239</t>
        </is>
      </c>
      <c r="B240" s="26" t="inlineStr"/>
      <c r="C240" s="26" t="inlineStr">
        <is>
          <t>Machine Evangel</t>
        </is>
      </c>
      <c r="D240" s="26" t="inlineStr">
        <is>
          <t>Order</t>
        </is>
      </c>
      <c r="E240" s="26" t="inlineStr">
        <is>
          <t>Unit</t>
        </is>
      </c>
      <c r="F240" s="26" t="inlineStr">
        <is>
          <t>5</t>
        </is>
      </c>
      <c r="G240" s="26" t="inlineStr">
        <is>
          <t>4</t>
        </is>
      </c>
      <c r="H240" s="26" t="inlineStr">
        <is>
          <t>Rare</t>
        </is>
      </c>
      <c r="I240" s="26" t="inlineStr">
        <is>
          <t>Piltover</t>
        </is>
      </c>
      <c r="J240" s="27" t="inlineStr">
        <is>
          <t>DEATHKNELL - Play three 1 might Recruit unit tokens into your base. (When I die, get the effect.)</t>
        </is>
      </c>
    </row>
    <row r="241" ht="15" customHeight="1">
      <c r="A241" s="26" t="inlineStr">
        <is>
          <t>OGN-240</t>
        </is>
      </c>
      <c r="B241" s="26" t="inlineStr"/>
      <c r="C241" s="26" t="inlineStr">
        <is>
          <t>Sett - Kingpin</t>
        </is>
      </c>
      <c r="D241" s="26" t="inlineStr">
        <is>
          <t>Order</t>
        </is>
      </c>
      <c r="E241" s="26" t="inlineStr">
        <is>
          <t>Champion Unit</t>
        </is>
      </c>
      <c r="F241" s="26" t="inlineStr">
        <is>
          <t>4</t>
        </is>
      </c>
      <c r="G241" s="26" t="inlineStr">
        <is>
          <t>5</t>
        </is>
      </c>
      <c r="H241" s="26" t="inlineStr">
        <is>
          <t>Rare</t>
        </is>
      </c>
      <c r="I241" s="26" t="inlineStr">
        <is>
          <t>Ionia;Sett</t>
        </is>
      </c>
      <c r="J241" s="27" t="inlineStr">
        <is>
          <t>TANK (I must be assigned combat damage first.)I get +1 might for each buffed friendly unit at my battlefield.</t>
        </is>
      </c>
    </row>
    <row r="242" ht="15" customHeight="1">
      <c r="A242" s="26" t="inlineStr">
        <is>
          <t>OGN-241</t>
        </is>
      </c>
      <c r="B242" s="26" t="inlineStr"/>
      <c r="C242" s="26" t="inlineStr">
        <is>
          <t>Shen - Kinkou</t>
        </is>
      </c>
      <c r="D242" s="26" t="inlineStr">
        <is>
          <t>Order</t>
        </is>
      </c>
      <c r="E242" s="26" t="inlineStr">
        <is>
          <t>Champion Unit</t>
        </is>
      </c>
      <c r="F242" s="26" t="inlineStr">
        <is>
          <t>3</t>
        </is>
      </c>
      <c r="G242" s="26" t="inlineStr">
        <is>
          <t>3</t>
        </is>
      </c>
      <c r="H242" s="26" t="inlineStr">
        <is>
          <t>Rare</t>
        </is>
      </c>
      <c r="I242" s="26" t="inlineStr">
        <is>
          <t>Ionia;Shen</t>
        </is>
      </c>
      <c r="J242" s="27" t="inlineStr">
        <is>
          <t>REACTION (Play any time, even before spells and abilities resolve, including to a battlefield you control.)SHIELD 2 (+2 might while I'm a defender.)TANK (I must be assigned combat damage first.)</t>
        </is>
      </c>
    </row>
    <row r="243" ht="15" customHeight="1">
      <c r="A243" s="26" t="inlineStr">
        <is>
          <t>OGN-242</t>
        </is>
      </c>
      <c r="B243" s="26" t="inlineStr"/>
      <c r="C243" s="26" t="inlineStr">
        <is>
          <t>Baited Hook</t>
        </is>
      </c>
      <c r="D243" s="26" t="inlineStr">
        <is>
          <t>Order</t>
        </is>
      </c>
      <c r="E243" s="26" t="inlineStr">
        <is>
          <t>Gear</t>
        </is>
      </c>
      <c r="F243" s="26" t="inlineStr">
        <is>
          <t>3</t>
        </is>
      </c>
      <c r="G243" s="26" t="inlineStr">
        <is>
          <t>0</t>
        </is>
      </c>
      <c r="H243" s="26" t="inlineStr">
        <is>
          <t>Epic</t>
        </is>
      </c>
      <c r="I243" s="26" t="inlineStr"/>
      <c r="J243" s="27" t="inlineStr">
        <is>
          <t>1 order exhaust: Kill a friendly unit. Look at the top 5 cards of your Main Deck. You may play a unit from among them that has Might up to 1 more than the killed unit, ignoring its cost. Then recycle the rest.</t>
        </is>
      </c>
    </row>
    <row r="244" ht="15" customHeight="1">
      <c r="A244" s="26" t="inlineStr">
        <is>
          <t>OGN-243</t>
        </is>
      </c>
      <c r="B244" s="26" t="inlineStr"/>
      <c r="C244" s="26" t="inlineStr">
        <is>
          <t>Darius - Executioner</t>
        </is>
      </c>
      <c r="D244" s="26" t="inlineStr">
        <is>
          <t>Order</t>
        </is>
      </c>
      <c r="E244" s="26" t="inlineStr">
        <is>
          <t>Champion Unit</t>
        </is>
      </c>
      <c r="F244" s="26" t="inlineStr">
        <is>
          <t>6</t>
        </is>
      </c>
      <c r="G244" s="26" t="inlineStr">
        <is>
          <t>6</t>
        </is>
      </c>
      <c r="H244" s="26" t="inlineStr">
        <is>
          <t>Epic</t>
        </is>
      </c>
      <c r="I244" s="26" t="inlineStr">
        <is>
          <t>Noxus;Darius;Trifarian</t>
        </is>
      </c>
      <c r="J244" s="27" t="inlineStr">
        <is>
          <t>LEGION - When you play me, ready me. (Get the effect if you've played another card this turn)
Other friendly units have +1 might here.</t>
        </is>
      </c>
    </row>
    <row r="245" ht="15" customHeight="1">
      <c r="A245" s="26" t="inlineStr">
        <is>
          <t>OGN-244</t>
        </is>
      </c>
      <c r="B245" s="26" t="inlineStr"/>
      <c r="C245" s="26" t="inlineStr">
        <is>
          <t>Divine Judgment</t>
        </is>
      </c>
      <c r="D245" s="26" t="inlineStr">
        <is>
          <t>Order</t>
        </is>
      </c>
      <c r="E245" s="26" t="inlineStr">
        <is>
          <t>Spell</t>
        </is>
      </c>
      <c r="F245" s="26" t="inlineStr">
        <is>
          <t>7</t>
        </is>
      </c>
      <c r="G245" s="26" t="inlineStr">
        <is>
          <t>0</t>
        </is>
      </c>
      <c r="H245" s="26" t="inlineStr">
        <is>
          <t>Epic</t>
        </is>
      </c>
      <c r="I245" s="26" t="inlineStr"/>
      <c r="J245" s="27" t="inlineStr">
        <is>
          <t>Each player chooses 2 units, 2 gear, 2 runes, and 2 cards in their hands. Recycle the rest.</t>
        </is>
      </c>
    </row>
    <row r="246" ht="15" customHeight="1">
      <c r="A246" s="26" t="inlineStr">
        <is>
          <t>OGN-245</t>
        </is>
      </c>
      <c r="B246" s="26" t="inlineStr"/>
      <c r="C246" s="26" t="inlineStr">
        <is>
          <t>Seal of Unity</t>
        </is>
      </c>
      <c r="D246" s="26" t="inlineStr">
        <is>
          <t>Order</t>
        </is>
      </c>
      <c r="E246" s="26" t="inlineStr">
        <is>
          <t>Gear</t>
        </is>
      </c>
      <c r="F246" s="26" t="inlineStr">
        <is>
          <t>0</t>
        </is>
      </c>
      <c r="G246" s="26" t="inlineStr">
        <is>
          <t>0</t>
        </is>
      </c>
      <c r="H246" s="26" t="inlineStr">
        <is>
          <t>Epic</t>
        </is>
      </c>
      <c r="I246" s="26" t="inlineStr"/>
      <c r="J246" s="27" t="inlineStr">
        <is>
          <t>Exhaust: REACTION - ADD order. (Abilities that add resources can't be reacted to.)</t>
        </is>
      </c>
    </row>
    <row r="247" ht="15" customHeight="1">
      <c r="A247" s="26" t="inlineStr">
        <is>
          <t>OGN-246</t>
        </is>
      </c>
      <c r="B247" s="26" t="inlineStr"/>
      <c r="C247" s="26" t="inlineStr">
        <is>
          <t>Viktor - Leader</t>
        </is>
      </c>
      <c r="D247" s="26" t="inlineStr">
        <is>
          <t>Order</t>
        </is>
      </c>
      <c r="E247" s="26" t="inlineStr">
        <is>
          <t>Champion Unit</t>
        </is>
      </c>
      <c r="F247" s="26" t="inlineStr">
        <is>
          <t>4</t>
        </is>
      </c>
      <c r="G247" s="26" t="inlineStr">
        <is>
          <t>4</t>
        </is>
      </c>
      <c r="H247" s="26" t="inlineStr">
        <is>
          <t>Epic</t>
        </is>
      </c>
      <c r="I247" s="26" t="inlineStr">
        <is>
          <t>Viktor;Zaun</t>
        </is>
      </c>
      <c r="J247" s="27" t="inlineStr">
        <is>
          <t>When another non-Recruit unit you control dies, play a 1 might Recruit unit token into your base.</t>
        </is>
      </c>
    </row>
    <row r="248" ht="15" customHeight="1">
      <c r="A248" s="57" t="inlineStr">
        <is>
          <t>OGN-247</t>
        </is>
      </c>
      <c r="B248" s="57" t="n">
        <v>1</v>
      </c>
      <c r="C248" s="57" t="inlineStr">
        <is>
          <t>Kai'Sa - Daughter of the Void</t>
        </is>
      </c>
      <c r="D248" s="57" t="inlineStr">
        <is>
          <t>Fury;Mind</t>
        </is>
      </c>
      <c r="E248" s="57" t="inlineStr">
        <is>
          <t>Legend</t>
        </is>
      </c>
      <c r="F248" s="57" t="inlineStr">
        <is>
          <t>0</t>
        </is>
      </c>
      <c r="G248" s="57" t="inlineStr">
        <is>
          <t>0</t>
        </is>
      </c>
      <c r="H248" s="57" t="inlineStr">
        <is>
          <t>Rare</t>
        </is>
      </c>
      <c r="I248" s="57" t="inlineStr">
        <is>
          <t>Kai'Sa</t>
        </is>
      </c>
      <c r="J248" s="3" t="inlineStr">
        <is>
          <t>Exhaust: REACTION - ADD rune. Use only to play spells. (Abilities that add resources can't be reacted to.)</t>
        </is>
      </c>
    </row>
    <row r="249" ht="15" customHeight="1">
      <c r="A249" s="16" t="inlineStr">
        <is>
          <t>OGN-248</t>
        </is>
      </c>
      <c r="B249" s="16" t="inlineStr"/>
      <c r="C249" s="16" t="inlineStr">
        <is>
          <t>Icathian Rain</t>
        </is>
      </c>
      <c r="D249" s="16" t="inlineStr">
        <is>
          <t>Fury;Mind</t>
        </is>
      </c>
      <c r="E249" s="16" t="inlineStr">
        <is>
          <t>Signature Spell</t>
        </is>
      </c>
      <c r="F249" s="16" t="inlineStr">
        <is>
          <t>7</t>
        </is>
      </c>
      <c r="G249" s="16" t="inlineStr">
        <is>
          <t>0</t>
        </is>
      </c>
      <c r="H249" s="16" t="inlineStr">
        <is>
          <t>Epic</t>
        </is>
      </c>
      <c r="I249" s="16" t="inlineStr">
        <is>
          <t>Kai'Sa</t>
        </is>
      </c>
      <c r="J249" s="17" t="inlineStr">
        <is>
          <t>Do this 6 times: Deal 2 to a unit. (You can choose different units.)</t>
        </is>
      </c>
    </row>
    <row r="250" ht="15" customHeight="1">
      <c r="A250" s="57" t="inlineStr">
        <is>
          <t>OGN-249</t>
        </is>
      </c>
      <c r="B250" s="57" t="n">
        <v>1</v>
      </c>
      <c r="C250" s="57" t="inlineStr">
        <is>
          <t>Volibear - Relentless Storm</t>
        </is>
      </c>
      <c r="D250" s="57" t="inlineStr">
        <is>
          <t>Fury;Body</t>
        </is>
      </c>
      <c r="E250" s="57" t="inlineStr">
        <is>
          <t>Legend</t>
        </is>
      </c>
      <c r="F250" s="57" t="inlineStr">
        <is>
          <t>0</t>
        </is>
      </c>
      <c r="G250" s="57" t="inlineStr">
        <is>
          <t>0</t>
        </is>
      </c>
      <c r="H250" s="57" t="inlineStr">
        <is>
          <t>Rare</t>
        </is>
      </c>
      <c r="I250" s="57" t="inlineStr">
        <is>
          <t>Volibear</t>
        </is>
      </c>
      <c r="J250" s="3" t="inlineStr">
        <is>
          <t>When you play a MIGHTY unit, you may exhaust me to channel 1 rune exhausted. (A unit is Mighty while it has 5+ Might)</t>
        </is>
      </c>
    </row>
    <row r="251" ht="15" customHeight="1">
      <c r="A251" s="57" t="inlineStr">
        <is>
          <t>OGN-250</t>
        </is>
      </c>
      <c r="B251" s="57" t="n">
        <v>3</v>
      </c>
      <c r="C251" s="57" t="inlineStr">
        <is>
          <t>Stormbringer</t>
        </is>
      </c>
      <c r="D251" s="57" t="inlineStr">
        <is>
          <t>Fury;Body</t>
        </is>
      </c>
      <c r="E251" s="57" t="inlineStr">
        <is>
          <t>Signature Spell</t>
        </is>
      </c>
      <c r="F251" s="57" t="inlineStr">
        <is>
          <t>6</t>
        </is>
      </c>
      <c r="G251" s="57" t="inlineStr">
        <is>
          <t>0</t>
        </is>
      </c>
      <c r="H251" s="57" t="inlineStr">
        <is>
          <t>Epic</t>
        </is>
      </c>
      <c r="I251" s="57" t="inlineStr">
        <is>
          <t>Volibear</t>
        </is>
      </c>
      <c r="J251" s="3" t="inlineStr">
        <is>
          <t>Choose a friendly unit in your base. Deal damage equal to its Might to all enemy units at a battlefield, then move your unit there.</t>
        </is>
      </c>
    </row>
    <row r="252" ht="15" customHeight="1">
      <c r="A252" s="57" t="inlineStr">
        <is>
          <t>OGN-251</t>
        </is>
      </c>
      <c r="B252" s="57" t="n">
        <v>1</v>
      </c>
      <c r="C252" s="57" t="inlineStr">
        <is>
          <t>Jinx - Loose Cannon</t>
        </is>
      </c>
      <c r="D252" s="57" t="inlineStr">
        <is>
          <t>Fury;Chaos</t>
        </is>
      </c>
      <c r="E252" s="57" t="inlineStr">
        <is>
          <t>Legend</t>
        </is>
      </c>
      <c r="F252" s="57" t="inlineStr">
        <is>
          <t>0</t>
        </is>
      </c>
      <c r="G252" s="57" t="inlineStr">
        <is>
          <t>0</t>
        </is>
      </c>
      <c r="H252" s="57" t="inlineStr">
        <is>
          <t>Rare</t>
        </is>
      </c>
      <c r="I252" s="57" t="inlineStr">
        <is>
          <t>Jinx</t>
        </is>
      </c>
      <c r="J252" s="3" t="inlineStr">
        <is>
          <t>At start of your Beginning Phase, draw 1 if you have 1 or fewer cards in your hand.</t>
        </is>
      </c>
    </row>
    <row r="253" ht="15" customHeight="1">
      <c r="A253" s="16" t="inlineStr">
        <is>
          <t>OGN-252</t>
        </is>
      </c>
      <c r="B253" s="16" t="inlineStr"/>
      <c r="C253" s="16" t="inlineStr">
        <is>
          <t>Super Mega Death Rocket!</t>
        </is>
      </c>
      <c r="D253" s="16" t="inlineStr">
        <is>
          <t>Fury;Chaos</t>
        </is>
      </c>
      <c r="E253" s="16" t="inlineStr">
        <is>
          <t>Signature Spell</t>
        </is>
      </c>
      <c r="F253" s="16" t="inlineStr">
        <is>
          <t>4</t>
        </is>
      </c>
      <c r="G253" s="16" t="inlineStr">
        <is>
          <t>0</t>
        </is>
      </c>
      <c r="H253" s="16" t="inlineStr">
        <is>
          <t>Epic</t>
        </is>
      </c>
      <c r="I253" s="16" t="inlineStr">
        <is>
          <t>Jinx</t>
        </is>
      </c>
      <c r="J253" s="17" t="inlineStr">
        <is>
          <t>Deal 5 to a unit.
When you conquer, you may discard 1 to return this from your trash to your hand.</t>
        </is>
      </c>
    </row>
    <row r="254" ht="15" customHeight="1">
      <c r="A254" s="57" t="inlineStr">
        <is>
          <t>OGN-253</t>
        </is>
      </c>
      <c r="B254" s="57" t="n">
        <v>1</v>
      </c>
      <c r="C254" s="57" t="inlineStr">
        <is>
          <t>Darius - Hand of Noxus</t>
        </is>
      </c>
      <c r="D254" s="57" t="inlineStr">
        <is>
          <t>Fury;Order</t>
        </is>
      </c>
      <c r="E254" s="57" t="inlineStr">
        <is>
          <t>Legend</t>
        </is>
      </c>
      <c r="F254" s="57" t="inlineStr">
        <is>
          <t>0</t>
        </is>
      </c>
      <c r="G254" s="57" t="inlineStr">
        <is>
          <t>0</t>
        </is>
      </c>
      <c r="H254" s="57" t="inlineStr">
        <is>
          <t>Rare</t>
        </is>
      </c>
      <c r="I254" s="57" t="inlineStr">
        <is>
          <t>Darius</t>
        </is>
      </c>
      <c r="J254" s="3" t="inlineStr">
        <is>
          <t>Exhaust REACTION, LEGION - ADD 1 (Abilities that add resources can't be reacted to. Get the effect if you've played a card this turn.)</t>
        </is>
      </c>
    </row>
    <row r="255" ht="15" customHeight="1">
      <c r="A255" s="16" t="inlineStr">
        <is>
          <t>OGN-254</t>
        </is>
      </c>
      <c r="B255" s="16" t="inlineStr"/>
      <c r="C255" s="16" t="inlineStr">
        <is>
          <t>Noxian Guillotine</t>
        </is>
      </c>
      <c r="D255" s="16" t="inlineStr">
        <is>
          <t>Fury;Order</t>
        </is>
      </c>
      <c r="E255" s="16" t="inlineStr">
        <is>
          <t>Signature Spell</t>
        </is>
      </c>
      <c r="F255" s="16" t="inlineStr">
        <is>
          <t>4</t>
        </is>
      </c>
      <c r="G255" s="16" t="inlineStr">
        <is>
          <t>0</t>
        </is>
      </c>
      <c r="H255" s="16" t="inlineStr">
        <is>
          <t>Epic</t>
        </is>
      </c>
      <c r="I255" s="16" t="inlineStr">
        <is>
          <t>Darius</t>
        </is>
      </c>
      <c r="J255" s="17" t="inlineStr">
        <is>
          <t>ACTION (Play on your turn or in showdowns.)
Choose a unit. Kill it the next time it takes damage this turn.
LEGION - Kill it now instead. (Get the effect if you've played another card this turn.)</t>
        </is>
      </c>
    </row>
    <row r="256" ht="15" customHeight="1">
      <c r="A256" s="49" t="inlineStr">
        <is>
          <t>OGN-255</t>
        </is>
      </c>
      <c r="B256" s="49" t="n">
        <v>1</v>
      </c>
      <c r="C256" s="49" t="inlineStr">
        <is>
          <t>Ahri - Nine-Tailed Fox</t>
        </is>
      </c>
      <c r="D256" s="49" t="inlineStr">
        <is>
          <t>Calm;Mind</t>
        </is>
      </c>
      <c r="E256" s="49" t="inlineStr">
        <is>
          <t>Legend</t>
        </is>
      </c>
      <c r="F256" s="49" t="inlineStr">
        <is>
          <t>0</t>
        </is>
      </c>
      <c r="G256" s="49" t="inlineStr">
        <is>
          <t>0</t>
        </is>
      </c>
      <c r="H256" s="49" t="inlineStr">
        <is>
          <t>Rare</t>
        </is>
      </c>
      <c r="I256" s="49" t="inlineStr">
        <is>
          <t>Ahri</t>
        </is>
      </c>
      <c r="J256" s="5" t="inlineStr">
        <is>
          <t>When an enemy unit attacks a battlefield you control, give it -1 Might this turn, to a minimum of 1 Might.</t>
        </is>
      </c>
    </row>
    <row r="257" ht="15" customHeight="1">
      <c r="A257" s="18" t="inlineStr">
        <is>
          <t>OGN-256</t>
        </is>
      </c>
      <c r="B257" s="18" t="inlineStr"/>
      <c r="C257" s="18" t="inlineStr">
        <is>
          <t>Fox-Fire</t>
        </is>
      </c>
      <c r="D257" s="18" t="inlineStr">
        <is>
          <t>Calm;Mind</t>
        </is>
      </c>
      <c r="E257" s="18" t="inlineStr">
        <is>
          <t>Signature Spell</t>
        </is>
      </c>
      <c r="F257" s="18" t="inlineStr">
        <is>
          <t>3</t>
        </is>
      </c>
      <c r="G257" s="18" t="inlineStr">
        <is>
          <t>0</t>
        </is>
      </c>
      <c r="H257" s="18" t="inlineStr">
        <is>
          <t>Epic</t>
        </is>
      </c>
      <c r="I257" s="18" t="inlineStr">
        <is>
          <t>Ahri</t>
        </is>
      </c>
      <c r="J257" s="19" t="inlineStr">
        <is>
          <t>HIDDEN (Hide now for 1 Rune to react with later for 0.)
ACTION (Play on your turn or in showdowns.)
Kill any number of units at a battlefield with total Might 4 or less.</t>
        </is>
      </c>
    </row>
    <row r="258" ht="15" customHeight="1">
      <c r="A258" s="49" t="inlineStr">
        <is>
          <t>OGN-257</t>
        </is>
      </c>
      <c r="B258" s="49" t="n">
        <v>1</v>
      </c>
      <c r="C258" s="49" t="inlineStr">
        <is>
          <t>Lee Sin - Blind Monk</t>
        </is>
      </c>
      <c r="D258" s="49" t="inlineStr">
        <is>
          <t>Calm;Body</t>
        </is>
      </c>
      <c r="E258" s="49" t="inlineStr">
        <is>
          <t>Legend</t>
        </is>
      </c>
      <c r="F258" s="49" t="inlineStr">
        <is>
          <t>0</t>
        </is>
      </c>
      <c r="G258" s="49" t="inlineStr">
        <is>
          <t>0</t>
        </is>
      </c>
      <c r="H258" s="49" t="inlineStr">
        <is>
          <t>Rare</t>
        </is>
      </c>
      <c r="I258" s="49" t="inlineStr">
        <is>
          <t>Lee Sin</t>
        </is>
      </c>
      <c r="J258" s="5" t="inlineStr">
        <is>
          <t>1, Exhaust: Buff a friendly unit. (If it doesn't have a buff, it gets a +1 Might buff.)</t>
        </is>
      </c>
    </row>
    <row r="259" ht="15" customHeight="1">
      <c r="A259" s="18" t="inlineStr">
        <is>
          <t>OGN-258</t>
        </is>
      </c>
      <c r="B259" s="18" t="inlineStr"/>
      <c r="C259" s="18" t="inlineStr">
        <is>
          <t>Dragon's Rage</t>
        </is>
      </c>
      <c r="D259" s="18" t="inlineStr">
        <is>
          <t>Calm;Body</t>
        </is>
      </c>
      <c r="E259" s="18" t="inlineStr">
        <is>
          <t>Signature Spell</t>
        </is>
      </c>
      <c r="F259" s="18" t="inlineStr">
        <is>
          <t>4</t>
        </is>
      </c>
      <c r="G259" s="18" t="inlineStr">
        <is>
          <t>0</t>
        </is>
      </c>
      <c r="H259" s="18" t="inlineStr">
        <is>
          <t>Epic</t>
        </is>
      </c>
      <c r="I259" s="18" t="inlineStr">
        <is>
          <t>Lee Sin</t>
        </is>
      </c>
      <c r="J259" s="19" t="inlineStr">
        <is>
          <t>Move an enemy unit. Then choose another enemy unit at its destination. They deal damage equal to their Mights to each other.</t>
        </is>
      </c>
    </row>
    <row r="260" ht="15" customHeight="1">
      <c r="A260" s="49" t="inlineStr">
        <is>
          <t>OGN-259</t>
        </is>
      </c>
      <c r="B260" s="49" t="n">
        <v>1</v>
      </c>
      <c r="C260" s="49" t="inlineStr">
        <is>
          <t>Yasuo - Unforgiven</t>
        </is>
      </c>
      <c r="D260" s="49" t="inlineStr">
        <is>
          <t>Calm;Chaos</t>
        </is>
      </c>
      <c r="E260" s="49" t="inlineStr">
        <is>
          <t>Legend</t>
        </is>
      </c>
      <c r="F260" s="49" t="inlineStr">
        <is>
          <t>0</t>
        </is>
      </c>
      <c r="G260" s="49" t="inlineStr">
        <is>
          <t>0</t>
        </is>
      </c>
      <c r="H260" s="49" t="inlineStr">
        <is>
          <t>Rare</t>
        </is>
      </c>
      <c r="I260" s="49" t="inlineStr">
        <is>
          <t>Yasuo</t>
        </is>
      </c>
      <c r="J260" s="5" t="inlineStr">
        <is>
          <t>2, Exhaust: Move a friendly unit to or from your base.</t>
        </is>
      </c>
    </row>
    <row r="261" ht="15" customHeight="1">
      <c r="A261" s="18" t="inlineStr">
        <is>
          <t>OGN-260</t>
        </is>
      </c>
      <c r="B261" s="18" t="inlineStr"/>
      <c r="C261" s="18" t="inlineStr">
        <is>
          <t>Last Breath</t>
        </is>
      </c>
      <c r="D261" s="18" t="inlineStr">
        <is>
          <t>Calm;Chaos</t>
        </is>
      </c>
      <c r="E261" s="18" t="inlineStr">
        <is>
          <t>Signature Spell</t>
        </is>
      </c>
      <c r="F261" s="18" t="inlineStr">
        <is>
          <t>3</t>
        </is>
      </c>
      <c r="G261" s="18" t="inlineStr">
        <is>
          <t>0</t>
        </is>
      </c>
      <c r="H261" s="18" t="inlineStr">
        <is>
          <t>Epic</t>
        </is>
      </c>
      <c r="I261" s="18" t="inlineStr">
        <is>
          <t>Yasuo</t>
        </is>
      </c>
      <c r="J261" s="19" t="inlineStr">
        <is>
          <t>ACTION (Play on your turn or in showdowns.)Ready a friendly unit. It deals damage equal to its Might to an enemy at a battlefield.</t>
        </is>
      </c>
    </row>
    <row r="262" ht="15" customHeight="1">
      <c r="A262" s="49" t="inlineStr">
        <is>
          <t>OGN-261</t>
        </is>
      </c>
      <c r="B262" s="49" t="n">
        <v>1</v>
      </c>
      <c r="C262" s="49" t="inlineStr">
        <is>
          <t>Leona - Radiant Dawn</t>
        </is>
      </c>
      <c r="D262" s="49" t="inlineStr">
        <is>
          <t>Calm;Order</t>
        </is>
      </c>
      <c r="E262" s="49" t="inlineStr">
        <is>
          <t>Legend</t>
        </is>
      </c>
      <c r="F262" s="49" t="inlineStr">
        <is>
          <t>0</t>
        </is>
      </c>
      <c r="G262" s="49" t="inlineStr">
        <is>
          <t>0</t>
        </is>
      </c>
      <c r="H262" s="49" t="inlineStr">
        <is>
          <t>Rare</t>
        </is>
      </c>
      <c r="I262" s="49" t="inlineStr">
        <is>
          <t>Leona</t>
        </is>
      </c>
      <c r="J262" s="5" t="inlineStr">
        <is>
          <t>When you stun one or more enemy units, buff a friendly unit. (If it doesn't have a buff, it gets a +1 Might buff.)</t>
        </is>
      </c>
    </row>
    <row r="263" ht="15" customHeight="1">
      <c r="A263" s="18" t="inlineStr">
        <is>
          <t>OGN-262</t>
        </is>
      </c>
      <c r="B263" s="18" t="inlineStr"/>
      <c r="C263" s="18" t="inlineStr">
        <is>
          <t>Zenith Blade</t>
        </is>
      </c>
      <c r="D263" s="18" t="inlineStr">
        <is>
          <t>Calm;Order</t>
        </is>
      </c>
      <c r="E263" s="18" t="inlineStr">
        <is>
          <t>Signature Spell</t>
        </is>
      </c>
      <c r="F263" s="18" t="inlineStr">
        <is>
          <t>3</t>
        </is>
      </c>
      <c r="G263" s="18" t="inlineStr">
        <is>
          <t>0</t>
        </is>
      </c>
      <c r="H263" s="18" t="inlineStr">
        <is>
          <t>Epic</t>
        </is>
      </c>
      <c r="I263" s="18" t="inlineStr">
        <is>
          <t>Leona</t>
        </is>
      </c>
      <c r="J263" s="19" t="inlineStr">
        <is>
          <t>ACTION (Play on your turn or in showdowns.)Stun an enemy at a battlefield. You may move a friendly unit to that enemy unit's battlefield. (A stunned unit doesn't deal combat damage this turn.)</t>
        </is>
      </c>
    </row>
    <row r="264" ht="15" customHeight="1">
      <c r="A264" s="54" t="inlineStr">
        <is>
          <t>OGN-263</t>
        </is>
      </c>
      <c r="B264" s="54" t="n">
        <v>2</v>
      </c>
      <c r="C264" s="54" t="inlineStr">
        <is>
          <t>Teemo - Swift Scout</t>
        </is>
      </c>
      <c r="D264" s="54" t="inlineStr">
        <is>
          <t>Mind;Chaos</t>
        </is>
      </c>
      <c r="E264" s="54" t="inlineStr">
        <is>
          <t>Legend</t>
        </is>
      </c>
      <c r="F264" s="54" t="inlineStr">
        <is>
          <t>0</t>
        </is>
      </c>
      <c r="G264" s="54" t="inlineStr">
        <is>
          <t>0</t>
        </is>
      </c>
      <c r="H264" s="54" t="inlineStr">
        <is>
          <t>Rare</t>
        </is>
      </c>
      <c r="I264" s="54" t="inlineStr">
        <is>
          <t>Teemo</t>
        </is>
      </c>
      <c r="J264" s="7" t="inlineStr">
        <is>
          <t>You may pay 1 to hide a card with HIDDEN instead of rune.
1, Exhaust: Put a Teemo unit you own into your hand from your Champion Zone or the board.</t>
        </is>
      </c>
    </row>
    <row r="265" ht="15" customHeight="1">
      <c r="A265" s="20" t="inlineStr">
        <is>
          <t>OGN-264</t>
        </is>
      </c>
      <c r="B265" s="20" t="inlineStr"/>
      <c r="C265" s="20" t="inlineStr">
        <is>
          <t>Guerilla Warfare</t>
        </is>
      </c>
      <c r="D265" s="20" t="inlineStr">
        <is>
          <t>Mind;Chaos</t>
        </is>
      </c>
      <c r="E265" s="20" t="inlineStr">
        <is>
          <t>Signature Spell</t>
        </is>
      </c>
      <c r="F265" s="20" t="inlineStr">
        <is>
          <t>2</t>
        </is>
      </c>
      <c r="G265" s="20" t="inlineStr">
        <is>
          <t>0</t>
        </is>
      </c>
      <c r="H265" s="20" t="inlineStr">
        <is>
          <t>Epic</t>
        </is>
      </c>
      <c r="I265" s="20" t="inlineStr">
        <is>
          <t>Teemo</t>
        </is>
      </c>
      <c r="J265" s="21" t="inlineStr">
        <is>
          <t>Return up to two cards with HIDDEN  from your trash to your hand. You can hide ignoring costs this turn.</t>
        </is>
      </c>
    </row>
    <row r="266" ht="15" customHeight="1">
      <c r="A266" s="54" t="inlineStr">
        <is>
          <t>OGN-265</t>
        </is>
      </c>
      <c r="B266" s="54" t="n">
        <v>1</v>
      </c>
      <c r="C266" s="54" t="inlineStr">
        <is>
          <t>Viktor - Herald of the Arcane</t>
        </is>
      </c>
      <c r="D266" s="54" t="inlineStr">
        <is>
          <t>Mind;Order</t>
        </is>
      </c>
      <c r="E266" s="54" t="inlineStr">
        <is>
          <t>Legend</t>
        </is>
      </c>
      <c r="F266" s="54" t="inlineStr">
        <is>
          <t>0</t>
        </is>
      </c>
      <c r="G266" s="54" t="inlineStr">
        <is>
          <t>0</t>
        </is>
      </c>
      <c r="H266" s="54" t="inlineStr">
        <is>
          <t>Rare</t>
        </is>
      </c>
      <c r="I266" s="54" t="inlineStr">
        <is>
          <t>Viktor</t>
        </is>
      </c>
      <c r="J266" s="7" t="inlineStr">
        <is>
          <t>1, Exhaust: Play a 1 Might Recruit unit token.</t>
        </is>
      </c>
    </row>
    <row r="267" ht="15" customHeight="1">
      <c r="A267" s="20" t="inlineStr">
        <is>
          <t>OGN-266</t>
        </is>
      </c>
      <c r="B267" s="20" t="inlineStr"/>
      <c r="C267" s="20" t="inlineStr">
        <is>
          <t>Siphon Power</t>
        </is>
      </c>
      <c r="D267" s="20" t="inlineStr">
        <is>
          <t>Mind;Order</t>
        </is>
      </c>
      <c r="E267" s="20" t="inlineStr">
        <is>
          <t>Signature Spell</t>
        </is>
      </c>
      <c r="F267" s="20" t="inlineStr">
        <is>
          <t>2</t>
        </is>
      </c>
      <c r="G267" s="20" t="inlineStr">
        <is>
          <t>0</t>
        </is>
      </c>
      <c r="H267" s="20" t="inlineStr">
        <is>
          <t>Epic</t>
        </is>
      </c>
      <c r="I267" s="20" t="inlineStr">
        <is>
          <t>Viktor</t>
        </is>
      </c>
      <c r="J267" s="21" t="inlineStr">
        <is>
          <t>REACTION (Play any time, even before spells and abilities resolve.)Choose a battlefield. Give friendly units there +1 Might this turn and enemy units there -1 Might this turn, to a minimum of 1 Might.</t>
        </is>
      </c>
    </row>
    <row r="268" ht="15" customHeight="1">
      <c r="A268" s="59" t="inlineStr">
        <is>
          <t>OGN-267</t>
        </is>
      </c>
      <c r="B268" s="59" t="n">
        <v>1</v>
      </c>
      <c r="C268" s="59" t="inlineStr">
        <is>
          <t>Miss Fortune - Bounty Hunter</t>
        </is>
      </c>
      <c r="D268" s="59" t="inlineStr">
        <is>
          <t>Body;Chaos</t>
        </is>
      </c>
      <c r="E268" s="59" t="inlineStr">
        <is>
          <t>Legend</t>
        </is>
      </c>
      <c r="F268" s="59" t="inlineStr">
        <is>
          <t>0</t>
        </is>
      </c>
      <c r="G268" s="59" t="inlineStr">
        <is>
          <t>0</t>
        </is>
      </c>
      <c r="H268" s="59" t="inlineStr">
        <is>
          <t>Rare</t>
        </is>
      </c>
      <c r="I268" s="59" t="inlineStr">
        <is>
          <t>Miss Fortune</t>
        </is>
      </c>
      <c r="J268" s="9" t="inlineStr">
        <is>
          <t>Exhaust: Give a unit GANKING this turn. (It can move from battlefield to battlefield.)</t>
        </is>
      </c>
    </row>
    <row r="269" ht="15" customHeight="1">
      <c r="A269" s="22" t="inlineStr">
        <is>
          <t>OGN-268</t>
        </is>
      </c>
      <c r="B269" s="22" t="inlineStr"/>
      <c r="C269" s="22" t="inlineStr">
        <is>
          <t>Bullet Time</t>
        </is>
      </c>
      <c r="D269" s="22" t="inlineStr">
        <is>
          <t>Body;Chaos</t>
        </is>
      </c>
      <c r="E269" s="22" t="inlineStr">
        <is>
          <t>Signature Spell</t>
        </is>
      </c>
      <c r="F269" s="22" t="inlineStr">
        <is>
          <t>1</t>
        </is>
      </c>
      <c r="G269" s="22" t="inlineStr">
        <is>
          <t>0</t>
        </is>
      </c>
      <c r="H269" s="22" t="inlineStr">
        <is>
          <t>Epic</t>
        </is>
      </c>
      <c r="I269" s="22" t="inlineStr">
        <is>
          <t>Miss Fortune</t>
        </is>
      </c>
      <c r="J269" s="23" t="inlineStr">
        <is>
          <t>ACTION (Play on your turn or in showdowns.)
Pay any amount of rune to deal that much damage to all enemy units at a battlefield.</t>
        </is>
      </c>
    </row>
    <row r="270" ht="15" customHeight="1">
      <c r="A270" s="59" t="inlineStr">
        <is>
          <t>OGN-269</t>
        </is>
      </c>
      <c r="B270" s="59" t="n">
        <v>1</v>
      </c>
      <c r="C270" s="59" t="inlineStr">
        <is>
          <t>Sett - The Boss</t>
        </is>
      </c>
      <c r="D270" s="59" t="inlineStr">
        <is>
          <t>Body;Order</t>
        </is>
      </c>
      <c r="E270" s="59" t="inlineStr">
        <is>
          <t>Legend</t>
        </is>
      </c>
      <c r="F270" s="59" t="inlineStr"/>
      <c r="G270" s="59" t="inlineStr"/>
      <c r="H270" s="59" t="inlineStr">
        <is>
          <t>Rare</t>
        </is>
      </c>
      <c r="I270" s="59" t="inlineStr">
        <is>
          <t>Sett</t>
        </is>
      </c>
      <c r="J270" s="9" t="inlineStr">
        <is>
          <t>When a buffed unit you control would die, you may pay rune and exhaust me to spend its buff and recall it exhausted instead. (Send it to base. This isn't a move.)
When you conquer, ready me.</t>
        </is>
      </c>
    </row>
    <row r="271" ht="15" customHeight="1">
      <c r="A271" s="22" t="inlineStr">
        <is>
          <t>OGN-270</t>
        </is>
      </c>
      <c r="B271" s="22" t="inlineStr"/>
      <c r="C271" s="22" t="inlineStr">
        <is>
          <t>Showstopper</t>
        </is>
      </c>
      <c r="D271" s="22" t="inlineStr">
        <is>
          <t>Body</t>
        </is>
      </c>
      <c r="E271" s="22" t="inlineStr">
        <is>
          <t>Signature Spell</t>
        </is>
      </c>
      <c r="F271" s="22" t="inlineStr">
        <is>
          <t>1</t>
        </is>
      </c>
      <c r="G271" s="22" t="inlineStr">
        <is>
          <t>0</t>
        </is>
      </c>
      <c r="H271" s="22" t="inlineStr">
        <is>
          <t>Epic</t>
        </is>
      </c>
      <c r="I271" s="22" t="inlineStr">
        <is>
          <t>Sett</t>
        </is>
      </c>
      <c r="J271" s="23" t="inlineStr">
        <is>
          <t>Buff a friendly unit in your base, then move it to a battlefield. (If it doesn't have a buff, it gets a +1 Might buff.)</t>
        </is>
      </c>
    </row>
    <row r="272" ht="15" customHeight="1">
      <c r="A272" s="28" t="inlineStr">
        <is>
          <t>OGN-271</t>
        </is>
      </c>
      <c r="B272" s="28" t="inlineStr"/>
      <c r="C272" s="28" t="inlineStr">
        <is>
          <t>Recruit</t>
        </is>
      </c>
      <c r="D272" s="28" t="inlineStr">
        <is>
          <t>None</t>
        </is>
      </c>
      <c r="E272" s="28" t="inlineStr">
        <is>
          <t>Unit;Token</t>
        </is>
      </c>
      <c r="F272" s="28" t="inlineStr">
        <is>
          <t>0</t>
        </is>
      </c>
      <c r="G272" s="28" t="inlineStr">
        <is>
          <t>1</t>
        </is>
      </c>
      <c r="H272" s="28" t="inlineStr">
        <is>
          <t>Common</t>
        </is>
      </c>
      <c r="I272" s="28" t="inlineStr">
        <is>
          <t>Recruit</t>
        </is>
      </c>
      <c r="J272" s="29" t="inlineStr"/>
    </row>
    <row r="273" ht="15" customHeight="1">
      <c r="A273" s="28" t="inlineStr">
        <is>
          <t>OGN-272</t>
        </is>
      </c>
      <c r="B273" s="28" t="inlineStr"/>
      <c r="C273" s="28" t="inlineStr">
        <is>
          <t>Recruit</t>
        </is>
      </c>
      <c r="D273" s="28" t="inlineStr"/>
      <c r="E273" s="28" t="inlineStr"/>
      <c r="F273" s="28" t="inlineStr">
        <is>
          <t>0</t>
        </is>
      </c>
      <c r="G273" s="28" t="inlineStr">
        <is>
          <t>1</t>
        </is>
      </c>
      <c r="H273" s="28" t="inlineStr">
        <is>
          <t>Common</t>
        </is>
      </c>
      <c r="I273" s="28" t="inlineStr"/>
      <c r="J273" s="29" t="inlineStr"/>
    </row>
    <row r="274" ht="15" customHeight="1">
      <c r="A274" s="28" t="inlineStr">
        <is>
          <t>OGN-273</t>
        </is>
      </c>
      <c r="B274" s="28" t="inlineStr"/>
      <c r="C274" s="28" t="inlineStr">
        <is>
          <t>Recruit</t>
        </is>
      </c>
      <c r="D274" s="28" t="inlineStr"/>
      <c r="E274" s="28" t="inlineStr"/>
      <c r="F274" s="28" t="inlineStr">
        <is>
          <t>0</t>
        </is>
      </c>
      <c r="G274" s="28" t="inlineStr">
        <is>
          <t>1</t>
        </is>
      </c>
      <c r="H274" s="28" t="inlineStr">
        <is>
          <t>Common</t>
        </is>
      </c>
      <c r="I274" s="28" t="inlineStr"/>
      <c r="J274" s="29" t="inlineStr"/>
    </row>
    <row r="275" ht="15" customHeight="1">
      <c r="A275" s="28" t="inlineStr">
        <is>
          <t>OGN-274</t>
        </is>
      </c>
      <c r="B275" s="28" t="inlineStr"/>
      <c r="C275" s="28" t="inlineStr">
        <is>
          <t>Sprite</t>
        </is>
      </c>
      <c r="D275" s="28" t="inlineStr"/>
      <c r="E275" s="28" t="inlineStr">
        <is>
          <t>Unit;Token</t>
        </is>
      </c>
      <c r="F275" s="28" t="inlineStr">
        <is>
          <t>0</t>
        </is>
      </c>
      <c r="G275" s="28" t="inlineStr">
        <is>
          <t>3</t>
        </is>
      </c>
      <c r="H275" s="28" t="inlineStr">
        <is>
          <t>Common</t>
        </is>
      </c>
      <c r="I275" s="28" t="inlineStr">
        <is>
          <t>Fae</t>
        </is>
      </c>
      <c r="J275" s="29" t="inlineStr">
        <is>
          <t>TEMPORARY (Kill me at the start of your Beginning Phase before scoring.)</t>
        </is>
      </c>
    </row>
    <row r="276" ht="15" customHeight="1">
      <c r="A276" s="14" t="inlineStr">
        <is>
          <t>OGN-275</t>
        </is>
      </c>
      <c r="B276" s="14" t="n">
        <v>1</v>
      </c>
      <c r="C276" s="14" t="inlineStr">
        <is>
          <t>Altar to Unity</t>
        </is>
      </c>
      <c r="D276" s="14" t="inlineStr">
        <is>
          <t>Colorless</t>
        </is>
      </c>
      <c r="E276" s="14" t="inlineStr">
        <is>
          <t>Battlefield</t>
        </is>
      </c>
      <c r="F276" s="14" t="inlineStr">
        <is>
          <t>0</t>
        </is>
      </c>
      <c r="G276" s="14" t="inlineStr">
        <is>
          <t>0</t>
        </is>
      </c>
      <c r="H276" s="14" t="inlineStr">
        <is>
          <t>Uncommon</t>
        </is>
      </c>
      <c r="I276" s="14" t="inlineStr"/>
      <c r="J276" s="15" t="inlineStr">
        <is>
          <t>When you hold here, play a 1 Might Recruit unit token in your base.</t>
        </is>
      </c>
    </row>
    <row r="277" ht="15" customHeight="1">
      <c r="A277" s="14" t="inlineStr">
        <is>
          <t>OGN-276</t>
        </is>
      </c>
      <c r="B277" s="14" t="n">
        <v>1</v>
      </c>
      <c r="C277" s="14" t="inlineStr">
        <is>
          <t>Aspirant's Climb</t>
        </is>
      </c>
      <c r="D277" s="14" t="inlineStr">
        <is>
          <t>Colorless</t>
        </is>
      </c>
      <c r="E277" s="14" t="inlineStr">
        <is>
          <t>Battlefield</t>
        </is>
      </c>
      <c r="F277" s="14" t="inlineStr">
        <is>
          <t>0</t>
        </is>
      </c>
      <c r="G277" s="14" t="inlineStr">
        <is>
          <t>0</t>
        </is>
      </c>
      <c r="H277" s="14" t="inlineStr">
        <is>
          <t>Uncommon</t>
        </is>
      </c>
      <c r="I277" s="14" t="inlineStr"/>
      <c r="J277" s="15" t="inlineStr">
        <is>
          <t>Increase the points needed to win the game by 1</t>
        </is>
      </c>
    </row>
    <row r="278" ht="15" customHeight="1">
      <c r="A278" s="30" t="inlineStr">
        <is>
          <t>OGN-277</t>
        </is>
      </c>
      <c r="B278" s="30" t="inlineStr"/>
      <c r="C278" s="30" t="inlineStr">
        <is>
          <t>Back-Alley Bar</t>
        </is>
      </c>
      <c r="D278" s="30" t="inlineStr">
        <is>
          <t>Colorless</t>
        </is>
      </c>
      <c r="E278" s="30" t="inlineStr">
        <is>
          <t>Battlefield</t>
        </is>
      </c>
      <c r="F278" s="30" t="inlineStr">
        <is>
          <t>0</t>
        </is>
      </c>
      <c r="G278" s="30" t="inlineStr">
        <is>
          <t>0</t>
        </is>
      </c>
      <c r="H278" s="30" t="inlineStr">
        <is>
          <t>Uncommon</t>
        </is>
      </c>
      <c r="I278" s="30" t="inlineStr"/>
      <c r="J278" s="31" t="inlineStr">
        <is>
          <t>When a unit moves from here, give it +1 Might this turn.</t>
        </is>
      </c>
    </row>
    <row r="279" ht="15" customHeight="1">
      <c r="A279" s="14" t="inlineStr">
        <is>
          <t>OGN-278</t>
        </is>
      </c>
      <c r="B279" s="14" t="n">
        <v>1</v>
      </c>
      <c r="C279" s="14" t="inlineStr">
        <is>
          <t>Bandle Tree</t>
        </is>
      </c>
      <c r="D279" s="14" t="inlineStr">
        <is>
          <t>Colorless</t>
        </is>
      </c>
      <c r="E279" s="14" t="inlineStr">
        <is>
          <t>Battlefield</t>
        </is>
      </c>
      <c r="F279" s="14" t="inlineStr">
        <is>
          <t>0</t>
        </is>
      </c>
      <c r="G279" s="14" t="inlineStr">
        <is>
          <t>0</t>
        </is>
      </c>
      <c r="H279" s="14" t="inlineStr">
        <is>
          <t>Uncommon</t>
        </is>
      </c>
      <c r="I279" s="14" t="inlineStr"/>
      <c r="J279" s="15" t="inlineStr">
        <is>
          <t>You may hide an additional card here.</t>
        </is>
      </c>
    </row>
    <row r="280" ht="15" customHeight="1">
      <c r="A280" s="14" t="inlineStr">
        <is>
          <t>OGN-279</t>
        </is>
      </c>
      <c r="B280" s="14" t="n">
        <v>1</v>
      </c>
      <c r="C280" s="14" t="inlineStr">
        <is>
          <t>Fortified Position</t>
        </is>
      </c>
      <c r="D280" s="14" t="inlineStr">
        <is>
          <t>Colorless</t>
        </is>
      </c>
      <c r="E280" s="14" t="inlineStr">
        <is>
          <t>Battlefield</t>
        </is>
      </c>
      <c r="F280" s="14" t="inlineStr">
        <is>
          <t>0</t>
        </is>
      </c>
      <c r="G280" s="14" t="inlineStr">
        <is>
          <t>0</t>
        </is>
      </c>
      <c r="H280" s="14" t="inlineStr">
        <is>
          <t>Uncommon</t>
        </is>
      </c>
      <c r="I280" s="14" t="inlineStr"/>
      <c r="J280" s="15" t="inlineStr">
        <is>
          <t>When you defend here, choose a unit. It gains SHIELD 2 this combat. (+2 Might while It's a defender.)</t>
        </is>
      </c>
    </row>
    <row r="281" ht="15" customHeight="1">
      <c r="A281" s="14" t="inlineStr">
        <is>
          <t>OGN-280</t>
        </is>
      </c>
      <c r="B281" s="14" t="n">
        <v>1</v>
      </c>
      <c r="C281" s="14" t="inlineStr">
        <is>
          <t>Grove of the God-Willow</t>
        </is>
      </c>
      <c r="D281" s="14" t="inlineStr">
        <is>
          <t>Colorless</t>
        </is>
      </c>
      <c r="E281" s="14" t="inlineStr">
        <is>
          <t>Battlefield</t>
        </is>
      </c>
      <c r="F281" s="14" t="inlineStr">
        <is>
          <t>0</t>
        </is>
      </c>
      <c r="G281" s="14" t="inlineStr">
        <is>
          <t>0</t>
        </is>
      </c>
      <c r="H281" s="14" t="inlineStr">
        <is>
          <t>Uncommon</t>
        </is>
      </c>
      <c r="I281" s="14" t="inlineStr"/>
      <c r="J281" s="15" t="inlineStr">
        <is>
          <t>When you hold here, draw 1.</t>
        </is>
      </c>
    </row>
    <row r="282" ht="15" customHeight="1">
      <c r="A282" s="30" t="inlineStr">
        <is>
          <t>OGN-281</t>
        </is>
      </c>
      <c r="B282" s="30" t="inlineStr"/>
      <c r="C282" s="30" t="inlineStr">
        <is>
          <t>Hallowed Tomb</t>
        </is>
      </c>
      <c r="D282" s="30" t="inlineStr">
        <is>
          <t>Colorless</t>
        </is>
      </c>
      <c r="E282" s="30" t="inlineStr">
        <is>
          <t>Battlefield</t>
        </is>
      </c>
      <c r="F282" s="30" t="inlineStr">
        <is>
          <t>0</t>
        </is>
      </c>
      <c r="G282" s="30" t="inlineStr">
        <is>
          <t>0</t>
        </is>
      </c>
      <c r="H282" s="30" t="inlineStr">
        <is>
          <t>Uncommon</t>
        </is>
      </c>
      <c r="I282" s="30" t="inlineStr"/>
      <c r="J282" s="31" t="inlineStr">
        <is>
          <t>When you hold here, you may return your Chosen Champion from your trash to your Champion Zone if it is empty.</t>
        </is>
      </c>
    </row>
    <row r="283" ht="15" customHeight="1">
      <c r="A283" s="14" t="inlineStr">
        <is>
          <t>OGN-282</t>
        </is>
      </c>
      <c r="B283" s="14" t="n">
        <v>1</v>
      </c>
      <c r="C283" s="14" t="inlineStr">
        <is>
          <t>Monastery of Hirana</t>
        </is>
      </c>
      <c r="D283" s="14" t="inlineStr">
        <is>
          <t>Colorless</t>
        </is>
      </c>
      <c r="E283" s="14" t="inlineStr">
        <is>
          <t>Battlefield</t>
        </is>
      </c>
      <c r="F283" s="14" t="inlineStr">
        <is>
          <t>0</t>
        </is>
      </c>
      <c r="G283" s="14" t="inlineStr">
        <is>
          <t>0</t>
        </is>
      </c>
      <c r="H283" s="14" t="inlineStr">
        <is>
          <t>Uncommon</t>
        </is>
      </c>
      <c r="I283" s="14" t="inlineStr"/>
      <c r="J283" s="15" t="inlineStr">
        <is>
          <t>When you conquer here, you may spend a buff to draw 1.</t>
        </is>
      </c>
    </row>
    <row r="284" ht="15" customHeight="1">
      <c r="A284" s="30" t="inlineStr">
        <is>
          <t>OGN-283</t>
        </is>
      </c>
      <c r="B284" s="30" t="inlineStr"/>
      <c r="C284" s="30" t="inlineStr">
        <is>
          <t>Navori Fighting Pit</t>
        </is>
      </c>
      <c r="D284" s="30" t="inlineStr">
        <is>
          <t>Colorless</t>
        </is>
      </c>
      <c r="E284" s="30" t="inlineStr">
        <is>
          <t>Battlefield</t>
        </is>
      </c>
      <c r="F284" s="30" t="inlineStr">
        <is>
          <t>0</t>
        </is>
      </c>
      <c r="G284" s="30" t="inlineStr">
        <is>
          <t>0</t>
        </is>
      </c>
      <c r="H284" s="30" t="inlineStr">
        <is>
          <t>Uncommon</t>
        </is>
      </c>
      <c r="I284" s="30" t="inlineStr"/>
      <c r="J284" s="31" t="inlineStr">
        <is>
          <t>When you hold here, buff a unit here. (If it doesn't have a buff, it gets a +1 Might buff.)</t>
        </is>
      </c>
    </row>
    <row r="285" ht="15" customHeight="1">
      <c r="A285" s="14" t="inlineStr">
        <is>
          <t>OGN-284</t>
        </is>
      </c>
      <c r="B285" s="14" t="n">
        <v>1</v>
      </c>
      <c r="C285" s="14" t="inlineStr">
        <is>
          <t>Obelisk of Power</t>
        </is>
      </c>
      <c r="D285" s="14" t="inlineStr">
        <is>
          <t>Colorless</t>
        </is>
      </c>
      <c r="E285" s="14" t="inlineStr">
        <is>
          <t>Battlefield</t>
        </is>
      </c>
      <c r="F285" s="14" t="inlineStr">
        <is>
          <t>0</t>
        </is>
      </c>
      <c r="G285" s="14" t="inlineStr">
        <is>
          <t>0</t>
        </is>
      </c>
      <c r="H285" s="14" t="inlineStr">
        <is>
          <t>Uncommon</t>
        </is>
      </c>
      <c r="I285" s="14" t="inlineStr"/>
      <c r="J285" s="15" t="inlineStr">
        <is>
          <t>Players channel one additional rune during their first Runic Phase this game.</t>
        </is>
      </c>
    </row>
    <row r="286" ht="15" customHeight="1">
      <c r="A286" s="14" t="inlineStr">
        <is>
          <t>OGN-285</t>
        </is>
      </c>
      <c r="B286" s="14" t="n">
        <v>1</v>
      </c>
      <c r="C286" s="14" t="inlineStr">
        <is>
          <t>Reaver's Row</t>
        </is>
      </c>
      <c r="D286" s="14" t="inlineStr">
        <is>
          <t>Colorless</t>
        </is>
      </c>
      <c r="E286" s="14" t="inlineStr">
        <is>
          <t>Battlefield</t>
        </is>
      </c>
      <c r="F286" s="14" t="inlineStr">
        <is>
          <t>0</t>
        </is>
      </c>
      <c r="G286" s="14" t="inlineStr">
        <is>
          <t>0</t>
        </is>
      </c>
      <c r="H286" s="14" t="inlineStr">
        <is>
          <t>Uncommon</t>
        </is>
      </c>
      <c r="I286" s="14" t="inlineStr"/>
      <c r="J286" s="15" t="inlineStr">
        <is>
          <t>When you defend here, you may move a friendly unit here to base.</t>
        </is>
      </c>
    </row>
    <row r="287" ht="15" customHeight="1">
      <c r="A287" s="14" t="inlineStr">
        <is>
          <t>OGN-286</t>
        </is>
      </c>
      <c r="B287" s="14" t="n">
        <v>1</v>
      </c>
      <c r="C287" s="14" t="inlineStr">
        <is>
          <t>Reckoner's Arena</t>
        </is>
      </c>
      <c r="D287" s="14" t="inlineStr">
        <is>
          <t>Colorless</t>
        </is>
      </c>
      <c r="E287" s="14" t="inlineStr">
        <is>
          <t>Battlefield</t>
        </is>
      </c>
      <c r="F287" s="14" t="inlineStr">
        <is>
          <t>0</t>
        </is>
      </c>
      <c r="G287" s="14" t="inlineStr">
        <is>
          <t>0</t>
        </is>
      </c>
      <c r="H287" s="14" t="inlineStr">
        <is>
          <t>Uncommon</t>
        </is>
      </c>
      <c r="I287" s="14" t="inlineStr"/>
      <c r="J287" s="15" t="inlineStr">
        <is>
          <t>When you hold this, activate the conquer abilities of units here.</t>
        </is>
      </c>
    </row>
    <row r="288" ht="15" customHeight="1">
      <c r="A288" s="14" t="inlineStr">
        <is>
          <t>OGN-287</t>
        </is>
      </c>
      <c r="B288" s="14" t="n">
        <v>1</v>
      </c>
      <c r="C288" s="14" t="inlineStr">
        <is>
          <t>Sigil of the Storm</t>
        </is>
      </c>
      <c r="D288" s="14" t="inlineStr">
        <is>
          <t>Colorless</t>
        </is>
      </c>
      <c r="E288" s="14" t="inlineStr">
        <is>
          <t>Battlefield</t>
        </is>
      </c>
      <c r="F288" s="14" t="inlineStr">
        <is>
          <t>0</t>
        </is>
      </c>
      <c r="G288" s="14" t="inlineStr">
        <is>
          <t>0</t>
        </is>
      </c>
      <c r="H288" s="14" t="inlineStr">
        <is>
          <t>Uncommon</t>
        </is>
      </c>
      <c r="I288" s="14" t="inlineStr"/>
      <c r="J288" s="15" t="inlineStr">
        <is>
          <t>When you conquer here, recycle one of your runes</t>
        </is>
      </c>
    </row>
    <row r="289" ht="15" customHeight="1">
      <c r="A289" s="30" t="inlineStr">
        <is>
          <t>OGN-288</t>
        </is>
      </c>
      <c r="B289" s="30" t="inlineStr"/>
      <c r="C289" s="30" t="inlineStr">
        <is>
          <t>Startipped Peak</t>
        </is>
      </c>
      <c r="D289" s="30" t="inlineStr">
        <is>
          <t>Colorless</t>
        </is>
      </c>
      <c r="E289" s="30" t="inlineStr">
        <is>
          <t>Battlefield</t>
        </is>
      </c>
      <c r="F289" s="30" t="inlineStr">
        <is>
          <t>0</t>
        </is>
      </c>
      <c r="G289" s="30" t="inlineStr">
        <is>
          <t>0</t>
        </is>
      </c>
      <c r="H289" s="30" t="inlineStr">
        <is>
          <t>Uncommon</t>
        </is>
      </c>
      <c r="I289" s="30" t="inlineStr"/>
      <c r="J289" s="31" t="inlineStr">
        <is>
          <t>When you hold here, you may channel 1 rune exhausted.</t>
        </is>
      </c>
    </row>
    <row r="290" ht="15" customHeight="1">
      <c r="A290" s="14" t="inlineStr">
        <is>
          <t>OGN-289</t>
        </is>
      </c>
      <c r="B290" s="14" t="n">
        <v>1</v>
      </c>
      <c r="C290" s="14" t="inlineStr">
        <is>
          <t>Targon's Peak</t>
        </is>
      </c>
      <c r="D290" s="14" t="inlineStr">
        <is>
          <t>Colorless</t>
        </is>
      </c>
      <c r="E290" s="14" t="inlineStr">
        <is>
          <t>Battlefield</t>
        </is>
      </c>
      <c r="F290" s="14" t="inlineStr">
        <is>
          <t>0</t>
        </is>
      </c>
      <c r="G290" s="14" t="inlineStr">
        <is>
          <t>0</t>
        </is>
      </c>
      <c r="H290" s="14" t="inlineStr">
        <is>
          <t>Uncommon</t>
        </is>
      </c>
      <c r="I290" s="14" t="inlineStr"/>
      <c r="J290" s="15" t="inlineStr">
        <is>
          <t>When you conquer here, ready 2 runes at the end of this turn</t>
        </is>
      </c>
    </row>
    <row r="291" ht="15" customHeight="1">
      <c r="A291" s="30" t="inlineStr">
        <is>
          <t>OGN-290</t>
        </is>
      </c>
      <c r="B291" s="30" t="inlineStr"/>
      <c r="C291" s="30" t="inlineStr">
        <is>
          <t>The Arena's Greatest</t>
        </is>
      </c>
      <c r="D291" s="30" t="inlineStr">
        <is>
          <t>Colorless</t>
        </is>
      </c>
      <c r="E291" s="30" t="inlineStr">
        <is>
          <t>Battlefield</t>
        </is>
      </c>
      <c r="F291" s="30" t="inlineStr">
        <is>
          <t>0</t>
        </is>
      </c>
      <c r="G291" s="30" t="inlineStr">
        <is>
          <t>0</t>
        </is>
      </c>
      <c r="H291" s="30" t="inlineStr">
        <is>
          <t>Uncommon</t>
        </is>
      </c>
      <c r="I291" s="30" t="inlineStr"/>
      <c r="J291" s="31" t="inlineStr">
        <is>
          <t>At the start of each player's first Beginning Phase, that player gains 1 point.</t>
        </is>
      </c>
    </row>
    <row r="292" ht="15" customHeight="1">
      <c r="A292" s="30" t="inlineStr">
        <is>
          <t>OGN-291</t>
        </is>
      </c>
      <c r="B292" s="30" t="inlineStr"/>
      <c r="C292" s="30" t="inlineStr">
        <is>
          <t>The Candlelit Sanctum</t>
        </is>
      </c>
      <c r="D292" s="30" t="inlineStr">
        <is>
          <t>Colorless</t>
        </is>
      </c>
      <c r="E292" s="30" t="inlineStr">
        <is>
          <t>Battlefield</t>
        </is>
      </c>
      <c r="F292" s="30" t="inlineStr">
        <is>
          <t>0</t>
        </is>
      </c>
      <c r="G292" s="30" t="inlineStr">
        <is>
          <t>0</t>
        </is>
      </c>
      <c r="H292" s="30" t="inlineStr">
        <is>
          <t>Uncommon</t>
        </is>
      </c>
      <c r="I292" s="30" t="inlineStr"/>
      <c r="J292" s="31" t="inlineStr">
        <is>
          <t>When you conquer here, look at the top two cards of your Main Deck. You may recycle one or both of them. Put those you don't back in any order.</t>
        </is>
      </c>
    </row>
    <row r="293" ht="15" customHeight="1">
      <c r="A293" s="30" t="inlineStr">
        <is>
          <t>OGN-292</t>
        </is>
      </c>
      <c r="B293" s="30" t="inlineStr"/>
      <c r="C293" s="30" t="inlineStr">
        <is>
          <t>The Dreaming Tree</t>
        </is>
      </c>
      <c r="D293" s="30" t="inlineStr">
        <is>
          <t>Colorless</t>
        </is>
      </c>
      <c r="E293" s="30" t="inlineStr">
        <is>
          <t>Battlefield</t>
        </is>
      </c>
      <c r="F293" s="30" t="inlineStr">
        <is>
          <t>0</t>
        </is>
      </c>
      <c r="G293" s="30" t="inlineStr">
        <is>
          <t>0</t>
        </is>
      </c>
      <c r="H293" s="30" t="inlineStr">
        <is>
          <t>Uncommon</t>
        </is>
      </c>
      <c r="I293" s="30" t="inlineStr"/>
      <c r="J293" s="31" t="inlineStr">
        <is>
          <t>The first time you choose a friendly unit with a spell here each turn, draw 1.</t>
        </is>
      </c>
    </row>
    <row r="294" ht="15" customHeight="1">
      <c r="A294" s="14" t="inlineStr">
        <is>
          <t>OGN-293</t>
        </is>
      </c>
      <c r="B294" s="14" t="n">
        <v>1</v>
      </c>
      <c r="C294" s="14" t="inlineStr">
        <is>
          <t>The Grand Plaza</t>
        </is>
      </c>
      <c r="D294" s="14" t="inlineStr">
        <is>
          <t>Colorless</t>
        </is>
      </c>
      <c r="E294" s="14" t="inlineStr">
        <is>
          <t>Battlefield</t>
        </is>
      </c>
      <c r="F294" s="14" t="inlineStr">
        <is>
          <t>0</t>
        </is>
      </c>
      <c r="G294" s="14" t="inlineStr">
        <is>
          <t>0</t>
        </is>
      </c>
      <c r="H294" s="14" t="inlineStr">
        <is>
          <t>Uncommon</t>
        </is>
      </c>
      <c r="I294" s="14" t="inlineStr"/>
      <c r="J294" s="15" t="inlineStr">
        <is>
          <t>When you hold here, if you have 7+ units here, you win the game.</t>
        </is>
      </c>
    </row>
    <row r="295" ht="15" customHeight="1">
      <c r="A295" s="14" t="inlineStr">
        <is>
          <t>OGN-294</t>
        </is>
      </c>
      <c r="B295" s="14" t="n">
        <v>1</v>
      </c>
      <c r="C295" s="14" t="inlineStr">
        <is>
          <t>Trifarian War Camp</t>
        </is>
      </c>
      <c r="D295" s="14" t="inlineStr">
        <is>
          <t>Colorless</t>
        </is>
      </c>
      <c r="E295" s="14" t="inlineStr">
        <is>
          <t>Battlefield</t>
        </is>
      </c>
      <c r="F295" s="14" t="inlineStr">
        <is>
          <t>0</t>
        </is>
      </c>
      <c r="G295" s="14" t="inlineStr">
        <is>
          <t>0</t>
        </is>
      </c>
      <c r="H295" s="14" t="inlineStr">
        <is>
          <t>Uncommon</t>
        </is>
      </c>
      <c r="I295" s="14" t="inlineStr"/>
      <c r="J295" s="15" t="inlineStr">
        <is>
          <t>Units here have +1 Might. (This includes attackers.)</t>
        </is>
      </c>
    </row>
    <row r="296" ht="15" customHeight="1">
      <c r="A296" s="14" t="inlineStr">
        <is>
          <t>OGN-295</t>
        </is>
      </c>
      <c r="B296" s="14" t="n">
        <v>1</v>
      </c>
      <c r="C296" s="14" t="inlineStr">
        <is>
          <t>Vilemaw's Lair</t>
        </is>
      </c>
      <c r="D296" s="14" t="inlineStr">
        <is>
          <t>Colorless</t>
        </is>
      </c>
      <c r="E296" s="14" t="inlineStr">
        <is>
          <t>Battlefield</t>
        </is>
      </c>
      <c r="F296" s="14" t="inlineStr">
        <is>
          <t>0</t>
        </is>
      </c>
      <c r="G296" s="14" t="inlineStr">
        <is>
          <t>0</t>
        </is>
      </c>
      <c r="H296" s="14" t="inlineStr">
        <is>
          <t>Uncommon</t>
        </is>
      </c>
      <c r="I296" s="14" t="inlineStr"/>
      <c r="J296" s="15" t="inlineStr">
        <is>
          <t>Units can't move from here to base.</t>
        </is>
      </c>
    </row>
    <row r="297" ht="15" customHeight="1">
      <c r="A297" s="30" t="inlineStr">
        <is>
          <t>OGN-296</t>
        </is>
      </c>
      <c r="B297" s="30" t="inlineStr"/>
      <c r="C297" s="30" t="inlineStr">
        <is>
          <t>Void Gate</t>
        </is>
      </c>
      <c r="D297" s="30" t="inlineStr">
        <is>
          <t>Colorless</t>
        </is>
      </c>
      <c r="E297" s="30" t="inlineStr">
        <is>
          <t>Battlefield</t>
        </is>
      </c>
      <c r="F297" s="30" t="inlineStr">
        <is>
          <t>0</t>
        </is>
      </c>
      <c r="G297" s="30" t="inlineStr">
        <is>
          <t>0</t>
        </is>
      </c>
      <c r="H297" s="30" t="inlineStr">
        <is>
          <t>Uncommon</t>
        </is>
      </c>
      <c r="I297" s="30" t="inlineStr"/>
      <c r="J297" s="31" t="inlineStr">
        <is>
          <t>Spells and abilities affecting units here each deal 1 Bonus Damage. (Each instance of damage the spell deals is increased by 1.)</t>
        </is>
      </c>
    </row>
    <row r="298" ht="15" customHeight="1">
      <c r="A298" s="30" t="inlineStr">
        <is>
          <t>OGN-297</t>
        </is>
      </c>
      <c r="B298" s="30" t="inlineStr"/>
      <c r="C298" s="30" t="inlineStr">
        <is>
          <t>Windswept Hillock</t>
        </is>
      </c>
      <c r="D298" s="30" t="inlineStr">
        <is>
          <t>Colorless</t>
        </is>
      </c>
      <c r="E298" s="30" t="inlineStr">
        <is>
          <t>Battlefield</t>
        </is>
      </c>
      <c r="F298" s="30" t="inlineStr">
        <is>
          <t>0</t>
        </is>
      </c>
      <c r="G298" s="30" t="inlineStr">
        <is>
          <t>0</t>
        </is>
      </c>
      <c r="H298" s="30" t="inlineStr">
        <is>
          <t>Uncommon</t>
        </is>
      </c>
      <c r="I298" s="30" t="inlineStr"/>
      <c r="J298" s="31" t="inlineStr">
        <is>
          <t>Units here have GANKING. (They can move from battlefield to battlefield.)</t>
        </is>
      </c>
    </row>
    <row r="299" ht="15" customHeight="1">
      <c r="A299" s="14" t="inlineStr">
        <is>
          <t>OGN-298</t>
        </is>
      </c>
      <c r="B299" s="14" t="n">
        <v>1</v>
      </c>
      <c r="C299" s="14" t="inlineStr">
        <is>
          <t>Zaun Warrens</t>
        </is>
      </c>
      <c r="D299" s="14" t="inlineStr">
        <is>
          <t>Colorless</t>
        </is>
      </c>
      <c r="E299" s="14" t="inlineStr">
        <is>
          <t>Battlefield</t>
        </is>
      </c>
      <c r="F299" s="14" t="inlineStr">
        <is>
          <t>0</t>
        </is>
      </c>
      <c r="G299" s="14" t="inlineStr">
        <is>
          <t>0</t>
        </is>
      </c>
      <c r="H299" s="14" t="inlineStr">
        <is>
          <t>Uncommon</t>
        </is>
      </c>
      <c r="I299" s="14" t="inlineStr"/>
      <c r="J299" s="15" t="inlineStr">
        <is>
          <t>When you conquer here, discard 1, then draw 1.</t>
        </is>
      </c>
    </row>
    <row r="300" ht="15" customHeight="1">
      <c r="A300" s="16" t="inlineStr">
        <is>
          <t>OGS-001</t>
        </is>
      </c>
      <c r="B300" s="16" t="inlineStr"/>
      <c r="C300" s="16" t="inlineStr">
        <is>
          <t>Annie - Fiery</t>
        </is>
      </c>
      <c r="D300" s="16" t="inlineStr">
        <is>
          <t>Fury</t>
        </is>
      </c>
      <c r="E300" s="16" t="inlineStr">
        <is>
          <t>Champion Unit</t>
        </is>
      </c>
      <c r="F300" s="16" t="inlineStr">
        <is>
          <t>5</t>
        </is>
      </c>
      <c r="G300" s="16" t="inlineStr">
        <is>
          <t>4</t>
        </is>
      </c>
      <c r="H300" s="16" t="inlineStr">
        <is>
          <t>Epic</t>
        </is>
      </c>
      <c r="I300" s="16" t="inlineStr">
        <is>
          <t>Annie</t>
        </is>
      </c>
      <c r="J300" s="17" t="inlineStr">
        <is>
          <t>Your spells and abilities deal 1 Bonus Damage.
(Each instance of damage they deal is increased by 1.)</t>
        </is>
      </c>
    </row>
    <row r="301" ht="15" customHeight="1">
      <c r="A301" s="16" t="inlineStr">
        <is>
          <t>OGS-002</t>
        </is>
      </c>
      <c r="B301" s="16" t="inlineStr"/>
      <c r="C301" s="16" t="inlineStr">
        <is>
          <t>Firestorm</t>
        </is>
      </c>
      <c r="D301" s="16" t="inlineStr">
        <is>
          <t>Fury</t>
        </is>
      </c>
      <c r="E301" s="16" t="inlineStr">
        <is>
          <t>Spell</t>
        </is>
      </c>
      <c r="F301" s="16" t="inlineStr">
        <is>
          <t>6</t>
        </is>
      </c>
      <c r="G301" s="16" t="inlineStr">
        <is>
          <t>0</t>
        </is>
      </c>
      <c r="H301" s="16" t="inlineStr">
        <is>
          <t>Uncommon</t>
        </is>
      </c>
      <c r="I301" s="16" t="inlineStr"/>
      <c r="J301" s="17" t="inlineStr">
        <is>
          <t>Deal 3 to all enemy units at a battlefield.</t>
        </is>
      </c>
    </row>
    <row r="302" ht="15" customHeight="1">
      <c r="A302" s="16" t="inlineStr">
        <is>
          <t>OGS-003</t>
        </is>
      </c>
      <c r="B302" s="16" t="inlineStr"/>
      <c r="C302" s="16" t="inlineStr">
        <is>
          <t>Incinerate</t>
        </is>
      </c>
      <c r="D302" s="16" t="inlineStr">
        <is>
          <t>Fury</t>
        </is>
      </c>
      <c r="E302" s="16" t="inlineStr">
        <is>
          <t>Spell</t>
        </is>
      </c>
      <c r="F302" s="16" t="inlineStr">
        <is>
          <t>2</t>
        </is>
      </c>
      <c r="G302" s="16" t="inlineStr">
        <is>
          <t>0</t>
        </is>
      </c>
      <c r="H302" s="16" t="inlineStr">
        <is>
          <t>Common</t>
        </is>
      </c>
      <c r="I302" s="16" t="inlineStr"/>
      <c r="J302" s="17" t="inlineStr">
        <is>
          <t>ACTION (play on your turn or in showdowns.)
Deal 2 to a unit at a battlefield.</t>
        </is>
      </c>
    </row>
    <row r="303" ht="15" customHeight="1">
      <c r="A303" s="18" t="inlineStr">
        <is>
          <t>OGS-004</t>
        </is>
      </c>
      <c r="B303" s="18" t="inlineStr"/>
      <c r="C303" s="18" t="inlineStr">
        <is>
          <t>Master Yi - Meditative</t>
        </is>
      </c>
      <c r="D303" s="18" t="inlineStr">
        <is>
          <t>Calm</t>
        </is>
      </c>
      <c r="E303" s="18" t="inlineStr">
        <is>
          <t>Champion Unit</t>
        </is>
      </c>
      <c r="F303" s="18" t="inlineStr">
        <is>
          <t>5</t>
        </is>
      </c>
      <c r="G303" s="18" t="inlineStr">
        <is>
          <t>4</t>
        </is>
      </c>
      <c r="H303" s="18" t="inlineStr">
        <is>
          <t>Rare</t>
        </is>
      </c>
      <c r="I303" s="18" t="inlineStr">
        <is>
          <t>Master Yi;Ionia</t>
        </is>
      </c>
      <c r="J303" s="19" t="inlineStr">
        <is>
          <t>While you have 8+ runes, I have +4 Might.</t>
        </is>
      </c>
    </row>
    <row r="304" ht="15" customHeight="1">
      <c r="A304" s="18" t="inlineStr">
        <is>
          <t>OGS-005</t>
        </is>
      </c>
      <c r="B304" s="18" t="inlineStr"/>
      <c r="C304" s="18" t="inlineStr">
        <is>
          <t>Zephyr Sage</t>
        </is>
      </c>
      <c r="D304" s="18" t="inlineStr">
        <is>
          <t>Calm</t>
        </is>
      </c>
      <c r="E304" s="18" t="inlineStr">
        <is>
          <t>Unit</t>
        </is>
      </c>
      <c r="F304" s="18" t="inlineStr">
        <is>
          <t>6</t>
        </is>
      </c>
      <c r="G304" s="18" t="inlineStr">
        <is>
          <t>6</t>
        </is>
      </c>
      <c r="H304" s="18" t="inlineStr">
        <is>
          <t>Uncommon</t>
        </is>
      </c>
      <c r="I304" s="18" t="inlineStr">
        <is>
          <t>Ionia;Bird</t>
        </is>
      </c>
      <c r="J304" s="19" t="inlineStr">
        <is>
          <t>SHIELD (+1 Might while I'm a defender.)</t>
        </is>
      </c>
    </row>
    <row r="305" ht="15" customHeight="1">
      <c r="A305" s="20" t="inlineStr">
        <is>
          <t>OGS-006</t>
        </is>
      </c>
      <c r="B305" s="20" t="inlineStr"/>
      <c r="C305" s="20" t="inlineStr">
        <is>
          <t>Lux - Illuminated</t>
        </is>
      </c>
      <c r="D305" s="20" t="inlineStr">
        <is>
          <t>Mind</t>
        </is>
      </c>
      <c r="E305" s="20" t="inlineStr">
        <is>
          <t>Champion Unit</t>
        </is>
      </c>
      <c r="F305" s="20" t="inlineStr">
        <is>
          <t>6</t>
        </is>
      </c>
      <c r="G305" s="20" t="inlineStr">
        <is>
          <t>5</t>
        </is>
      </c>
      <c r="H305" s="20" t="inlineStr">
        <is>
          <t>Rare</t>
        </is>
      </c>
      <c r="I305" s="20" t="inlineStr">
        <is>
          <t>Lux;Demacia</t>
        </is>
      </c>
      <c r="J305" s="21" t="inlineStr">
        <is>
          <t>When you play a spell that costs 5 or more, give me +3 Might this turn.</t>
        </is>
      </c>
    </row>
    <row r="306" ht="15" customHeight="1">
      <c r="A306" s="22" t="inlineStr">
        <is>
          <t>OGS-007</t>
        </is>
      </c>
      <c r="B306" s="22" t="inlineStr"/>
      <c r="C306" s="22" t="inlineStr">
        <is>
          <t>Garen - Rugged</t>
        </is>
      </c>
      <c r="D306" s="22" t="inlineStr">
        <is>
          <t>Body</t>
        </is>
      </c>
      <c r="E306" s="22" t="inlineStr">
        <is>
          <t>Champion Unit</t>
        </is>
      </c>
      <c r="F306" s="22" t="inlineStr">
        <is>
          <t>6</t>
        </is>
      </c>
      <c r="G306" s="22" t="inlineStr">
        <is>
          <t>5</t>
        </is>
      </c>
      <c r="H306" s="22" t="inlineStr">
        <is>
          <t>Rare</t>
        </is>
      </c>
      <c r="I306" s="22" t="inlineStr">
        <is>
          <t>Garen;Demacia;Elite</t>
        </is>
      </c>
      <c r="J306" s="23" t="inlineStr">
        <is>
          <t>ASSAULT 2, SHIELD 2 (+2 Might while I'm an attacker or defender.)</t>
        </is>
      </c>
    </row>
    <row r="307" ht="15" customHeight="1">
      <c r="A307" s="22" t="inlineStr">
        <is>
          <t>OGS-008</t>
        </is>
      </c>
      <c r="B307" s="22" t="inlineStr"/>
      <c r="C307" s="22" t="inlineStr">
        <is>
          <t>Gentlemen's Duel</t>
        </is>
      </c>
      <c r="D307" s="22" t="inlineStr">
        <is>
          <t>Body</t>
        </is>
      </c>
      <c r="E307" s="22" t="inlineStr">
        <is>
          <t>Spell</t>
        </is>
      </c>
      <c r="F307" s="22" t="inlineStr">
        <is>
          <t>6</t>
        </is>
      </c>
      <c r="G307" s="22" t="inlineStr">
        <is>
          <t>0</t>
        </is>
      </c>
      <c r="H307" s="22" t="inlineStr">
        <is>
          <t>Common</t>
        </is>
      </c>
      <c r="I307" s="22" t="inlineStr"/>
      <c r="J307" s="23" t="inlineStr">
        <is>
          <t>ACTION (Play on your turn or in showdowns.)
Give a friendly unit +3 Might this turn. Then, choose an enemy unit. They deal damage equal to their Mights to each other.</t>
        </is>
      </c>
    </row>
    <row r="308" ht="15" customHeight="1">
      <c r="A308" s="22" t="inlineStr">
        <is>
          <t>OGS-009</t>
        </is>
      </c>
      <c r="B308" s="22" t="inlineStr"/>
      <c r="C308" s="22" t="inlineStr">
        <is>
          <t>Master Yi - Honed</t>
        </is>
      </c>
      <c r="D308" s="22" t="inlineStr">
        <is>
          <t>Body</t>
        </is>
      </c>
      <c r="E308" s="22" t="inlineStr">
        <is>
          <t>Champion Unit</t>
        </is>
      </c>
      <c r="F308" s="22" t="inlineStr">
        <is>
          <t>7</t>
        </is>
      </c>
      <c r="G308" s="22" t="inlineStr">
        <is>
          <t>6</t>
        </is>
      </c>
      <c r="H308" s="22" t="inlineStr">
        <is>
          <t>Epic</t>
        </is>
      </c>
      <c r="I308" s="22" t="inlineStr">
        <is>
          <t>Master Yi;Ionia</t>
        </is>
      </c>
      <c r="J308" s="23" t="inlineStr">
        <is>
          <t>GANKING (I can move from battlefield to battlefield.)
I enter ready.</t>
        </is>
      </c>
    </row>
    <row r="309" ht="15" customHeight="1">
      <c r="A309" s="24" t="inlineStr">
        <is>
          <t>OGS-010</t>
        </is>
      </c>
      <c r="B309" s="24" t="inlineStr"/>
      <c r="C309" s="24" t="inlineStr">
        <is>
          <t>Annie - Stubborn</t>
        </is>
      </c>
      <c r="D309" s="24" t="inlineStr">
        <is>
          <t>Chaos</t>
        </is>
      </c>
      <c r="E309" s="24" t="inlineStr">
        <is>
          <t>Champion Unit</t>
        </is>
      </c>
      <c r="F309" s="24" t="inlineStr">
        <is>
          <t>4</t>
        </is>
      </c>
      <c r="G309" s="24" t="inlineStr">
        <is>
          <t>3</t>
        </is>
      </c>
      <c r="H309" s="24" t="inlineStr">
        <is>
          <t>Rare</t>
        </is>
      </c>
      <c r="I309" s="24" t="inlineStr">
        <is>
          <t>Annie;Noxus</t>
        </is>
      </c>
      <c r="J309" s="25" t="inlineStr">
        <is>
          <t>When you play me, return a spell from your trash to your hand.</t>
        </is>
      </c>
    </row>
    <row r="310" ht="15" customHeight="1">
      <c r="A310" s="24" t="inlineStr">
        <is>
          <t>OGS-011</t>
        </is>
      </c>
      <c r="B310" s="24" t="inlineStr"/>
      <c r="C310" s="24" t="inlineStr">
        <is>
          <t>Flash</t>
        </is>
      </c>
      <c r="D310" s="24" t="inlineStr">
        <is>
          <t>Chaos</t>
        </is>
      </c>
      <c r="E310" s="24" t="inlineStr">
        <is>
          <t>Spell</t>
        </is>
      </c>
      <c r="F310" s="24" t="inlineStr">
        <is>
          <t>2</t>
        </is>
      </c>
      <c r="G310" s="24" t="inlineStr">
        <is>
          <t>0</t>
        </is>
      </c>
      <c r="H310" s="24" t="inlineStr">
        <is>
          <t>Common</t>
        </is>
      </c>
      <c r="I310" s="24" t="inlineStr"/>
      <c r="J310" s="25" t="inlineStr">
        <is>
          <t>REACTION (Play at any time, even before spells and abilities resolve.)Move up to 2 friendly units to base.</t>
        </is>
      </c>
    </row>
    <row r="311" ht="15" customHeight="1">
      <c r="A311" s="26" t="inlineStr">
        <is>
          <t>OGS-012</t>
        </is>
      </c>
      <c r="B311" s="26" t="inlineStr"/>
      <c r="C311" s="26" t="inlineStr">
        <is>
          <t>Blast of Power</t>
        </is>
      </c>
      <c r="D311" s="26" t="inlineStr">
        <is>
          <t>Order</t>
        </is>
      </c>
      <c r="E311" s="26" t="inlineStr">
        <is>
          <t>Spell</t>
        </is>
      </c>
      <c r="F311" s="26" t="inlineStr">
        <is>
          <t>6</t>
        </is>
      </c>
      <c r="G311" s="26" t="inlineStr">
        <is>
          <t>0</t>
        </is>
      </c>
      <c r="H311" s="26" t="inlineStr">
        <is>
          <t>Common</t>
        </is>
      </c>
      <c r="I311" s="26" t="inlineStr"/>
      <c r="J311" s="27" t="inlineStr">
        <is>
          <t>ACTION (Play on your turn or in showdowns.)
Kill a unit at a battlefield.</t>
        </is>
      </c>
    </row>
    <row r="312" ht="15" customHeight="1">
      <c r="A312" s="26" t="inlineStr">
        <is>
          <t>OGS-013</t>
        </is>
      </c>
      <c r="B312" s="26" t="inlineStr"/>
      <c r="C312" s="26" t="inlineStr">
        <is>
          <t>Garen - Commander</t>
        </is>
      </c>
      <c r="D312" s="26" t="inlineStr">
        <is>
          <t>Order</t>
        </is>
      </c>
      <c r="E312" s="26" t="inlineStr">
        <is>
          <t>Champion Unit</t>
        </is>
      </c>
      <c r="F312" s="26" t="inlineStr">
        <is>
          <t>6</t>
        </is>
      </c>
      <c r="G312" s="26" t="inlineStr">
        <is>
          <t>5</t>
        </is>
      </c>
      <c r="H312" s="26" t="inlineStr">
        <is>
          <t>Epic</t>
        </is>
      </c>
      <c r="I312" s="26" t="inlineStr">
        <is>
          <t>Garen;Demacia;Elite</t>
        </is>
      </c>
      <c r="J312" s="27" t="inlineStr">
        <is>
          <t>Other friendly units have +1 Might here.</t>
        </is>
      </c>
    </row>
    <row r="313" ht="15" customHeight="1">
      <c r="A313" s="26" t="inlineStr">
        <is>
          <t>OGS-014</t>
        </is>
      </c>
      <c r="B313" s="26" t="inlineStr"/>
      <c r="C313" s="26" t="inlineStr">
        <is>
          <t>Lux - Crownguard</t>
        </is>
      </c>
      <c r="D313" s="26" t="inlineStr">
        <is>
          <t>Order</t>
        </is>
      </c>
      <c r="E313" s="26" t="inlineStr">
        <is>
          <t>Champion Unit</t>
        </is>
      </c>
      <c r="F313" s="26" t="inlineStr">
        <is>
          <t>4</t>
        </is>
      </c>
      <c r="G313" s="26" t="inlineStr">
        <is>
          <t>2</t>
        </is>
      </c>
      <c r="H313" s="26" t="inlineStr">
        <is>
          <t>Epic</t>
        </is>
      </c>
      <c r="I313" s="26" t="inlineStr">
        <is>
          <t>Lux;Demacia</t>
        </is>
      </c>
      <c r="J313" s="27" t="inlineStr">
        <is>
          <t>Exhaust: REACTION - ADD 2. Use only to play spells. 
(Abilities that add resources can't be reacted to.)</t>
        </is>
      </c>
    </row>
    <row r="314" ht="15" customHeight="1">
      <c r="A314" s="26" t="inlineStr">
        <is>
          <t>OGS-015</t>
        </is>
      </c>
      <c r="B314" s="26" t="inlineStr"/>
      <c r="C314" s="26" t="inlineStr">
        <is>
          <t>Recruit the Vanguard</t>
        </is>
      </c>
      <c r="D314" s="26" t="inlineStr">
        <is>
          <t>Order</t>
        </is>
      </c>
      <c r="E314" s="26" t="inlineStr">
        <is>
          <t>Spell</t>
        </is>
      </c>
      <c r="F314" s="26" t="inlineStr">
        <is>
          <t>6</t>
        </is>
      </c>
      <c r="G314" s="26" t="inlineStr">
        <is>
          <t>0</t>
        </is>
      </c>
      <c r="H314" s="26" t="inlineStr">
        <is>
          <t>Uncommon</t>
        </is>
      </c>
      <c r="I314" s="26" t="inlineStr"/>
      <c r="J314" s="27" t="inlineStr">
        <is>
          <t>ACTION (Play on your turn or in showdowns.)
Play four 1 Might Recruit unit tokens. (They can be played to your base or to battlefields you control.)</t>
        </is>
      </c>
    </row>
    <row r="315" ht="15" customHeight="1">
      <c r="A315" s="26" t="inlineStr">
        <is>
          <t>OGS-016</t>
        </is>
      </c>
      <c r="B315" s="26" t="inlineStr"/>
      <c r="C315" s="26" t="inlineStr">
        <is>
          <t>Vanguard Attendant</t>
        </is>
      </c>
      <c r="D315" s="26" t="inlineStr">
        <is>
          <t>Order</t>
        </is>
      </c>
      <c r="E315" s="26" t="inlineStr">
        <is>
          <t>Unit</t>
        </is>
      </c>
      <c r="F315" s="26" t="inlineStr">
        <is>
          <t>6</t>
        </is>
      </c>
      <c r="G315" s="26" t="inlineStr">
        <is>
          <t>5</t>
        </is>
      </c>
      <c r="H315" s="26" t="inlineStr">
        <is>
          <t>Common</t>
        </is>
      </c>
      <c r="I315" s="26" t="inlineStr">
        <is>
          <t>Demacia;Elite</t>
        </is>
      </c>
      <c r="J315" s="27" t="inlineStr">
        <is>
          <t>I enter ready.</t>
        </is>
      </c>
    </row>
    <row r="316" ht="15" customHeight="1">
      <c r="A316" s="16" t="inlineStr">
        <is>
          <t>OGS-017</t>
        </is>
      </c>
      <c r="B316" s="16" t="inlineStr"/>
      <c r="C316" s="16" t="inlineStr">
        <is>
          <t>Annie - Dark Child (Starter)</t>
        </is>
      </c>
      <c r="D316" s="16" t="inlineStr">
        <is>
          <t>Fury;Chaos</t>
        </is>
      </c>
      <c r="E316" s="16" t="inlineStr">
        <is>
          <t>Legend</t>
        </is>
      </c>
      <c r="F316" s="16" t="inlineStr">
        <is>
          <t>0</t>
        </is>
      </c>
      <c r="G316" s="16" t="inlineStr">
        <is>
          <t>0</t>
        </is>
      </c>
      <c r="H316" s="16" t="inlineStr">
        <is>
          <t>Rare</t>
        </is>
      </c>
      <c r="I316" s="16" t="inlineStr">
        <is>
          <t>Annie</t>
        </is>
      </c>
      <c r="J316" s="17" t="inlineStr">
        <is>
          <t>At the end of your turn, ready 2 runes.</t>
        </is>
      </c>
    </row>
    <row r="317" ht="15" customHeight="1">
      <c r="A317" s="16" t="inlineStr">
        <is>
          <t>OGS-018</t>
        </is>
      </c>
      <c r="B317" s="16" t="inlineStr"/>
      <c r="C317" s="16" t="inlineStr">
        <is>
          <t>Tibbers</t>
        </is>
      </c>
      <c r="D317" s="16" t="inlineStr">
        <is>
          <t>Fury;Chaos</t>
        </is>
      </c>
      <c r="E317" s="16" t="inlineStr">
        <is>
          <t>Signature Unit</t>
        </is>
      </c>
      <c r="F317" s="16" t="inlineStr">
        <is>
          <t>8</t>
        </is>
      </c>
      <c r="G317" s="16" t="inlineStr">
        <is>
          <t>7</t>
        </is>
      </c>
      <c r="H317" s="16" t="inlineStr">
        <is>
          <t>Epic</t>
        </is>
      </c>
      <c r="I317" s="16" t="inlineStr">
        <is>
          <t>Annie</t>
        </is>
      </c>
      <c r="J317" s="17" t="inlineStr">
        <is>
          <t>When you play me, deal 3 damage to all units at battlefields.</t>
        </is>
      </c>
    </row>
    <row r="318" ht="15" customHeight="1">
      <c r="A318" s="18" t="inlineStr">
        <is>
          <t>OGS-019</t>
        </is>
      </c>
      <c r="B318" s="18" t="inlineStr"/>
      <c r="C318" s="18" t="inlineStr">
        <is>
          <t>Master Yi - Wuju Bladesman (Starter)</t>
        </is>
      </c>
      <c r="D318" s="18" t="inlineStr">
        <is>
          <t>Calm;Body</t>
        </is>
      </c>
      <c r="E318" s="18" t="inlineStr">
        <is>
          <t>Legend</t>
        </is>
      </c>
      <c r="F318" s="18" t="inlineStr">
        <is>
          <t>0</t>
        </is>
      </c>
      <c r="G318" s="18" t="inlineStr">
        <is>
          <t>0</t>
        </is>
      </c>
      <c r="H318" s="18" t="inlineStr">
        <is>
          <t>Rare</t>
        </is>
      </c>
      <c r="I318" s="18" t="inlineStr">
        <is>
          <t>Master Yi</t>
        </is>
      </c>
      <c r="J318" s="19" t="inlineStr">
        <is>
          <t>While a friendly unit defends alone, it gets +2 Might.</t>
        </is>
      </c>
    </row>
    <row r="319" ht="15" customHeight="1">
      <c r="A319" s="18" t="inlineStr">
        <is>
          <t>OGS-020</t>
        </is>
      </c>
      <c r="B319" s="18" t="inlineStr"/>
      <c r="C319" s="18" t="inlineStr">
        <is>
          <t>Highlander</t>
        </is>
      </c>
      <c r="D319" s="18" t="inlineStr">
        <is>
          <t>Calm;Body</t>
        </is>
      </c>
      <c r="E319" s="18" t="inlineStr">
        <is>
          <t>Signature Spell</t>
        </is>
      </c>
      <c r="F319" s="18" t="inlineStr">
        <is>
          <t>4</t>
        </is>
      </c>
      <c r="G319" s="18" t="inlineStr">
        <is>
          <t>0</t>
        </is>
      </c>
      <c r="H319" s="18" t="inlineStr">
        <is>
          <t>Epic</t>
        </is>
      </c>
      <c r="I319" s="18" t="inlineStr">
        <is>
          <t>Master Yi</t>
        </is>
      </c>
      <c r="J319" s="19" t="inlineStr">
        <is>
          <t>REACTION (Play any time, even before spells and abilities resolve.)
Choose a friendly unit. The next time it dies this turn, recall it exhausted instead. (Send it to base. This isn't a move.)</t>
        </is>
      </c>
    </row>
    <row r="320" ht="15" customHeight="1">
      <c r="A320" s="20" t="inlineStr">
        <is>
          <t>OGS-021</t>
        </is>
      </c>
      <c r="B320" s="20" t="inlineStr"/>
      <c r="C320" s="20" t="inlineStr">
        <is>
          <t>Lux - Lady of Luminosity (Starter)</t>
        </is>
      </c>
      <c r="D320" s="20" t="inlineStr">
        <is>
          <t>Mind;Order</t>
        </is>
      </c>
      <c r="E320" s="20" t="inlineStr">
        <is>
          <t>Legend</t>
        </is>
      </c>
      <c r="F320" s="20" t="inlineStr">
        <is>
          <t>0</t>
        </is>
      </c>
      <c r="G320" s="20" t="inlineStr">
        <is>
          <t>0</t>
        </is>
      </c>
      <c r="H320" s="20" t="inlineStr">
        <is>
          <t>Rare</t>
        </is>
      </c>
      <c r="I320" s="20" t="inlineStr">
        <is>
          <t>Lux</t>
        </is>
      </c>
      <c r="J320" s="21" t="inlineStr">
        <is>
          <t>When you play a spell that costs 5 or more, draw a 1.</t>
        </is>
      </c>
    </row>
    <row r="321" ht="15" customHeight="1">
      <c r="A321" s="20" t="inlineStr">
        <is>
          <t>OGS-022</t>
        </is>
      </c>
      <c r="B321" s="20" t="inlineStr"/>
      <c r="C321" s="20" t="inlineStr">
        <is>
          <t>Final Spark</t>
        </is>
      </c>
      <c r="D321" s="20" t="inlineStr">
        <is>
          <t>Mind;Order</t>
        </is>
      </c>
      <c r="E321" s="20" t="inlineStr">
        <is>
          <t>Signature Spell</t>
        </is>
      </c>
      <c r="F321" s="20" t="inlineStr">
        <is>
          <t>8</t>
        </is>
      </c>
      <c r="G321" s="20" t="inlineStr">
        <is>
          <t>0</t>
        </is>
      </c>
      <c r="H321" s="20" t="inlineStr">
        <is>
          <t>Epic</t>
        </is>
      </c>
      <c r="I321" s="20" t="inlineStr">
        <is>
          <t>Lux</t>
        </is>
      </c>
      <c r="J321" s="21" t="inlineStr">
        <is>
          <t>ACTION (Play on your turn or in showdowns.)
Deal 8 to a unit.</t>
        </is>
      </c>
    </row>
    <row r="322" ht="15" customHeight="1">
      <c r="A322" s="22" t="inlineStr">
        <is>
          <t>OGS-023</t>
        </is>
      </c>
      <c r="B322" s="22" t="inlineStr"/>
      <c r="C322" s="22" t="inlineStr">
        <is>
          <t>Garen - Might of Demacia (Starter)</t>
        </is>
      </c>
      <c r="D322" s="22" t="inlineStr">
        <is>
          <t>Body;Order</t>
        </is>
      </c>
      <c r="E322" s="22" t="inlineStr">
        <is>
          <t>Legend</t>
        </is>
      </c>
      <c r="F322" s="22" t="inlineStr">
        <is>
          <t>0</t>
        </is>
      </c>
      <c r="G322" s="22" t="inlineStr">
        <is>
          <t>0</t>
        </is>
      </c>
      <c r="H322" s="22" t="inlineStr">
        <is>
          <t>Rare</t>
        </is>
      </c>
      <c r="I322" s="22" t="inlineStr">
        <is>
          <t>Garen</t>
        </is>
      </c>
      <c r="J322" s="23" t="inlineStr">
        <is>
          <t>When you conquer, if you have 4+ units at that battlefield, draw 2.</t>
        </is>
      </c>
    </row>
    <row r="323" ht="15" customHeight="1">
      <c r="A323" s="22" t="inlineStr">
        <is>
          <t>OGS-024</t>
        </is>
      </c>
      <c r="B323" s="22" t="inlineStr"/>
      <c r="C323" s="22" t="inlineStr">
        <is>
          <t>Decisive Strike</t>
        </is>
      </c>
      <c r="D323" s="22" t="inlineStr">
        <is>
          <t>Body;Order</t>
        </is>
      </c>
      <c r="E323" s="22" t="inlineStr">
        <is>
          <t>Signature Spell</t>
        </is>
      </c>
      <c r="F323" s="22" t="inlineStr">
        <is>
          <t>5</t>
        </is>
      </c>
      <c r="G323" s="22" t="inlineStr">
        <is>
          <t>0</t>
        </is>
      </c>
      <c r="H323" s="22" t="inlineStr">
        <is>
          <t>Epic</t>
        </is>
      </c>
      <c r="I323" s="22" t="inlineStr">
        <is>
          <t>Garen</t>
        </is>
      </c>
      <c r="J323" s="23" t="inlineStr">
        <is>
          <t>ACTION (Play on your turn or in showdowns.)
Give friendly units +2 Might this turn.</t>
        </is>
      </c>
    </row>
    <row r="324" ht="15" customHeight="1">
      <c r="A324" s="22" t="inlineStr">
        <is>
          <t>ARC-004</t>
        </is>
      </c>
      <c r="B324" s="22" t="inlineStr"/>
      <c r="C324" s="22" t="inlineStr">
        <is>
          <t>Warwick Hunter</t>
        </is>
      </c>
      <c r="D324" s="22" t="inlineStr">
        <is>
          <t>Body</t>
        </is>
      </c>
      <c r="E324" s="22" t="inlineStr">
        <is>
          <t>Champion</t>
        </is>
      </c>
      <c r="F324" s="22" t="inlineStr">
        <is>
          <t>6</t>
        </is>
      </c>
      <c r="G324" s="22" t="inlineStr">
        <is>
          <t>5</t>
        </is>
      </c>
      <c r="H324" s="22" t="inlineStr">
        <is>
          <t>Showcase</t>
        </is>
      </c>
      <c r="I324" s="22" t="inlineStr">
        <is>
          <t>Dog, Warwick, Zaun</t>
        </is>
      </c>
      <c r="J324" s="23" t="inlineStr">
        <is>
          <t>I enter ready. When I attack, destroy all damaged enemy units here.</t>
        </is>
      </c>
    </row>
    <row r="325" ht="15" customHeight="1">
      <c r="A325" s="26" t="inlineStr">
        <is>
          <t>ARC-006</t>
        </is>
      </c>
      <c r="B325" s="26" t="inlineStr"/>
      <c r="C325" s="26" t="inlineStr">
        <is>
          <t>Viktor Leader</t>
        </is>
      </c>
      <c r="D325" s="26" t="inlineStr">
        <is>
          <t>Order</t>
        </is>
      </c>
      <c r="E325" s="26" t="inlineStr">
        <is>
          <t>Champion</t>
        </is>
      </c>
      <c r="F325" s="26" t="inlineStr">
        <is>
          <t>4</t>
        </is>
      </c>
      <c r="G325" s="26" t="inlineStr">
        <is>
          <t>4</t>
        </is>
      </c>
      <c r="H325" s="26" t="inlineStr">
        <is>
          <t>Showcase</t>
        </is>
      </c>
      <c r="I325" s="26" t="inlineStr">
        <is>
          <t>Viktor, Zaun</t>
        </is>
      </c>
      <c r="J325" s="27" t="inlineStr">
        <is>
          <t>When another non-Recruit unit you control dies, play a 1 [might] Recruit unit token into your base.</t>
        </is>
      </c>
    </row>
    <row r="326" ht="15" customHeight="1">
      <c r="A326" s="57" t="inlineStr">
        <is>
          <t>SFD-001</t>
        </is>
      </c>
      <c r="B326" s="57" t="n">
        <v>3</v>
      </c>
      <c r="C326" s="57" t="inlineStr">
        <is>
          <t>Against the Odds</t>
        </is>
      </c>
      <c r="D326" s="57" t="inlineStr">
        <is>
          <t>Fury</t>
        </is>
      </c>
      <c r="E326" s="57" t="inlineStr">
        <is>
          <t>Spell</t>
        </is>
      </c>
      <c r="F326" s="57" t="inlineStr">
        <is>
          <t>2</t>
        </is>
      </c>
      <c r="G326" s="57" t="inlineStr">
        <is>
          <t>0</t>
        </is>
      </c>
      <c r="H326" s="57" t="inlineStr">
        <is>
          <t>Common</t>
        </is>
      </c>
      <c r="I326" s="57" t="inlineStr"/>
      <c r="J326" s="3" t="inlineStr">
        <is>
          <t>[REACTION] (Play any time, even before spells and abilities resolve.)
Give a friendly unit at a battlefield +2 Might this turn for each enemy unit there.</t>
        </is>
      </c>
    </row>
    <row r="327" ht="15" customHeight="1">
      <c r="A327" s="57" t="inlineStr">
        <is>
          <t>SFD-002</t>
        </is>
      </c>
      <c r="B327" s="57" t="n">
        <v>3</v>
      </c>
      <c r="C327" s="57" t="inlineStr">
        <is>
          <t>Armed Assailant</t>
        </is>
      </c>
      <c r="D327" s="57" t="inlineStr">
        <is>
          <t>Fury</t>
        </is>
      </c>
      <c r="E327" s="57" t="inlineStr">
        <is>
          <t>Unit</t>
        </is>
      </c>
      <c r="F327" s="57" t="inlineStr">
        <is>
          <t>6</t>
        </is>
      </c>
      <c r="G327" s="57" t="inlineStr">
        <is>
          <t>6</t>
        </is>
      </c>
      <c r="H327" s="57" t="inlineStr">
        <is>
          <t>Common</t>
        </is>
      </c>
      <c r="I327" s="57" t="inlineStr">
        <is>
          <t>Noxus</t>
        </is>
      </c>
      <c r="J327" s="3" t="inlineStr">
        <is>
          <t>[ACCELERATE] (You may pay 1 and Fury as an additional cost to have me enter ready.)
[WEAPONMASTER] (When you play me, you may [EQUIP] one of your Equipment to me for 1 Rune less, even if it's already attached.)</t>
        </is>
      </c>
    </row>
    <row r="328" ht="15" customHeight="1">
      <c r="A328" s="57" t="inlineStr">
        <is>
          <t>SFD-003</t>
        </is>
      </c>
      <c r="B328" s="57" t="n">
        <v>3</v>
      </c>
      <c r="C328" s="57" t="inlineStr">
        <is>
          <t>Blood Rush</t>
        </is>
      </c>
      <c r="D328" s="57" t="inlineStr">
        <is>
          <t>Fury</t>
        </is>
      </c>
      <c r="E328" s="57" t="inlineStr">
        <is>
          <t>Spell</t>
        </is>
      </c>
      <c r="F328" s="57" t="inlineStr">
        <is>
          <t>1</t>
        </is>
      </c>
      <c r="G328" s="57" t="inlineStr"/>
      <c r="H328" s="57" t="inlineStr">
        <is>
          <t>Common</t>
        </is>
      </c>
      <c r="I328" s="57" t="inlineStr"/>
      <c r="J328" s="3" t="inlineStr">
        <is>
          <t>[ACTION] (Play on your turn or in showdowns.)
[REPEAT 1]  (You may pay the additional cost to repeat this spell's effect.)
Give a unit [ASSAULT 2]. (+2  while it's an attacker.)</t>
        </is>
      </c>
    </row>
    <row r="329" ht="15" customHeight="1">
      <c r="A329" s="57" t="inlineStr">
        <is>
          <t>SFD-004</t>
        </is>
      </c>
      <c r="B329" s="57" t="n">
        <v>1</v>
      </c>
      <c r="C329" s="57" t="inlineStr">
        <is>
          <t>Bushwack</t>
        </is>
      </c>
      <c r="D329" s="57" t="inlineStr">
        <is>
          <t>Fury</t>
        </is>
      </c>
      <c r="E329" s="57" t="inlineStr">
        <is>
          <t>Spell</t>
        </is>
      </c>
      <c r="F329" s="57" t="inlineStr">
        <is>
          <t>2</t>
        </is>
      </c>
      <c r="G329" s="57" t="inlineStr"/>
      <c r="H329" s="57" t="inlineStr">
        <is>
          <t>Common</t>
        </is>
      </c>
      <c r="I329" s="57" t="inlineStr"/>
      <c r="J329" s="3" t="inlineStr">
        <is>
          <t>[HIDDEN] (Hide now for 1 Rune to react with later for 0.) Friendly units enter ready this turn. Play a Gold gear token exhausted.</t>
        </is>
      </c>
    </row>
    <row r="330" ht="15" customHeight="1">
      <c r="A330" s="57" t="inlineStr">
        <is>
          <t>SFD-005</t>
        </is>
      </c>
      <c r="B330" s="57" t="n">
        <v>3</v>
      </c>
      <c r="C330" s="57" t="inlineStr">
        <is>
          <t>Detonate</t>
        </is>
      </c>
      <c r="D330" s="57" t="inlineStr">
        <is>
          <t>Fury</t>
        </is>
      </c>
      <c r="E330" s="57" t="inlineStr">
        <is>
          <t>Spell</t>
        </is>
      </c>
      <c r="F330" s="57" t="inlineStr">
        <is>
          <t>1</t>
        </is>
      </c>
      <c r="G330" s="57" t="inlineStr"/>
      <c r="H330" s="57" t="inlineStr">
        <is>
          <t>Common</t>
        </is>
      </c>
      <c r="I330" s="57" t="inlineStr"/>
      <c r="J330" s="3" t="inlineStr">
        <is>
          <t>Kill a gear. Its controller draws 2.</t>
        </is>
      </c>
    </row>
    <row r="331" ht="15" customHeight="1">
      <c r="A331" s="57" t="inlineStr">
        <is>
          <t>SFD-006</t>
        </is>
      </c>
      <c r="B331" s="57" t="n">
        <v>3</v>
      </c>
      <c r="C331" s="57" t="inlineStr">
        <is>
          <t>Eager Drakehound</t>
        </is>
      </c>
      <c r="D331" s="57" t="inlineStr">
        <is>
          <t>Fury</t>
        </is>
      </c>
      <c r="E331" s="57" t="inlineStr">
        <is>
          <t>Unit</t>
        </is>
      </c>
      <c r="F331" s="57" t="inlineStr">
        <is>
          <t>3</t>
        </is>
      </c>
      <c r="G331" s="57" t="inlineStr">
        <is>
          <t>3</t>
        </is>
      </c>
      <c r="H331" s="57" t="inlineStr">
        <is>
          <t>Common</t>
        </is>
      </c>
      <c r="I331" s="57" t="inlineStr">
        <is>
          <t>Noxus;Dog;Dragon</t>
        </is>
      </c>
      <c r="J331" s="3" t="inlineStr">
        <is>
          <t>I enter ready.</t>
        </is>
      </c>
    </row>
    <row r="332" ht="15" customHeight="1">
      <c r="A332" s="57" t="inlineStr">
        <is>
          <t>SFD-007</t>
        </is>
      </c>
      <c r="B332" s="57" t="n">
        <v>3</v>
      </c>
      <c r="C332" s="57" t="inlineStr">
        <is>
          <t>Gem Jammer</t>
        </is>
      </c>
      <c r="D332" s="57" t="inlineStr">
        <is>
          <t>Fury</t>
        </is>
      </c>
      <c r="E332" s="57" t="inlineStr">
        <is>
          <t>Unit</t>
        </is>
      </c>
      <c r="F332" s="57" t="inlineStr">
        <is>
          <t>2</t>
        </is>
      </c>
      <c r="G332" s="57" t="inlineStr">
        <is>
          <t>2</t>
        </is>
      </c>
      <c r="H332" s="57" t="inlineStr">
        <is>
          <t>Common</t>
        </is>
      </c>
      <c r="I332" s="57" t="inlineStr">
        <is>
          <t>Bandle City;Mech</t>
        </is>
      </c>
      <c r="J332" s="3" t="inlineStr">
        <is>
          <t>When you play me, give a unit [GANKING] this turn. (It can move from battlefield to battlefield)</t>
        </is>
      </c>
    </row>
    <row r="333" ht="15" customHeight="1">
      <c r="A333" s="57" t="inlineStr">
        <is>
          <t>SFD-008</t>
        </is>
      </c>
      <c r="B333" s="57" t="n">
        <v>3</v>
      </c>
      <c r="C333" s="57" t="inlineStr">
        <is>
          <t>Sentinel Adept</t>
        </is>
      </c>
      <c r="D333" s="57" t="inlineStr">
        <is>
          <t>Fury</t>
        </is>
      </c>
      <c r="E333" s="57" t="inlineStr">
        <is>
          <t>Unit</t>
        </is>
      </c>
      <c r="F333" s="57" t="inlineStr">
        <is>
          <t>3</t>
        </is>
      </c>
      <c r="G333" s="57" t="inlineStr">
        <is>
          <t>3</t>
        </is>
      </c>
      <c r="H333" s="57" t="inlineStr">
        <is>
          <t>Common</t>
        </is>
      </c>
      <c r="I333" s="57" t="inlineStr">
        <is>
          <t>Shadow Isles;Sentinel</t>
        </is>
      </c>
      <c r="J333" s="3" t="inlineStr">
        <is>
          <t>[WEAPONMASTER] (When you play me, you may [Equip] one of your Equipment to me for 1 Rune less, even if it's already attached.)</t>
        </is>
      </c>
    </row>
    <row r="334" ht="15" customHeight="1">
      <c r="A334" s="57" t="inlineStr">
        <is>
          <t>SFD-009</t>
        </is>
      </c>
      <c r="B334" s="57" t="n">
        <v>3</v>
      </c>
      <c r="C334" s="57" t="inlineStr">
        <is>
          <t>Serrated Dirk</t>
        </is>
      </c>
      <c r="D334" s="57" t="inlineStr">
        <is>
          <t>Fury</t>
        </is>
      </c>
      <c r="E334" s="57" t="inlineStr">
        <is>
          <t>Gear</t>
        </is>
      </c>
      <c r="F334" s="57" t="inlineStr">
        <is>
          <t>1</t>
        </is>
      </c>
      <c r="G334" s="57" t="inlineStr"/>
      <c r="H334" s="57" t="inlineStr">
        <is>
          <t>Common</t>
        </is>
      </c>
      <c r="I334" s="57" t="inlineStr">
        <is>
          <t>Equipment</t>
        </is>
      </c>
      <c r="J334" s="3" t="inlineStr">
        <is>
          <t>[EQUIP Fury] (Fury: Attach this to a unit you control.)
[ASSAULT 2] (+2 Might while I'm attacking.)
Might +0</t>
        </is>
      </c>
    </row>
    <row r="335" ht="15" customHeight="1">
      <c r="A335" s="57" t="inlineStr">
        <is>
          <t>SFD-010</t>
        </is>
      </c>
      <c r="B335" s="57" t="n">
        <v>3</v>
      </c>
      <c r="C335" s="57" t="inlineStr">
        <is>
          <t>Void Drone</t>
        </is>
      </c>
      <c r="D335" s="57" t="inlineStr">
        <is>
          <t>Fury</t>
        </is>
      </c>
      <c r="E335" s="57" t="inlineStr">
        <is>
          <t>Unit</t>
        </is>
      </c>
      <c r="F335" s="57" t="inlineStr">
        <is>
          <t>3</t>
        </is>
      </c>
      <c r="G335" s="57" t="inlineStr">
        <is>
          <t>3</t>
        </is>
      </c>
      <c r="H335" s="57" t="inlineStr">
        <is>
          <t>Common</t>
        </is>
      </c>
      <c r="I335" s="57" t="inlineStr">
        <is>
          <t>The Void</t>
        </is>
      </c>
      <c r="J335" s="3" t="inlineStr">
        <is>
          <t>I cost 2 less to play from anywhere other than your hand.</t>
        </is>
      </c>
    </row>
    <row r="336" ht="15" customHeight="1">
      <c r="A336" s="57" t="inlineStr">
        <is>
          <t>SFD-011</t>
        </is>
      </c>
      <c r="B336" s="57" t="n">
        <v>3</v>
      </c>
      <c r="C336" s="57" t="inlineStr">
        <is>
          <t>Angle Shot</t>
        </is>
      </c>
      <c r="D336" s="57" t="inlineStr">
        <is>
          <t>Fury</t>
        </is>
      </c>
      <c r="E336" s="57" t="inlineStr">
        <is>
          <t>Spell</t>
        </is>
      </c>
      <c r="F336" s="57" t="inlineStr">
        <is>
          <t>3</t>
        </is>
      </c>
      <c r="G336" s="57" t="inlineStr"/>
      <c r="H336" s="57" t="inlineStr">
        <is>
          <t>Uncommon</t>
        </is>
      </c>
      <c r="I336" s="57" t="inlineStr"/>
      <c r="J336" s="3" t="inlineStr">
        <is>
          <t>[REACTION] (Play any time, even before spells and abilities resolve.)
Choose a unit and an Equipment with the same controller. Attach that Equipment to that unit or detach that Equipment from that unit. Draw 1.</t>
        </is>
      </c>
    </row>
    <row r="337" ht="15" customHeight="1">
      <c r="A337" s="57" t="inlineStr">
        <is>
          <t>SFD-012</t>
        </is>
      </c>
      <c r="B337" s="57" t="n">
        <v>3</v>
      </c>
      <c r="C337" s="57" t="inlineStr">
        <is>
          <t>Battering Ram</t>
        </is>
      </c>
      <c r="D337" s="57" t="inlineStr">
        <is>
          <t>Fury</t>
        </is>
      </c>
      <c r="E337" s="57" t="inlineStr">
        <is>
          <t>Unit</t>
        </is>
      </c>
      <c r="F337" s="57" t="inlineStr">
        <is>
          <t>5</t>
        </is>
      </c>
      <c r="G337" s="57" t="inlineStr">
        <is>
          <t>5</t>
        </is>
      </c>
      <c r="H337" s="57" t="inlineStr">
        <is>
          <t>Uncommon</t>
        </is>
      </c>
      <c r="I337" s="57" t="inlineStr">
        <is>
          <t>Noxus;Trifarian</t>
        </is>
      </c>
      <c r="J337" s="3" t="inlineStr">
        <is>
          <t>I cost 1 less for each card you've played this turn, to a minimum of 1.</t>
        </is>
      </c>
    </row>
    <row r="338" ht="15" customHeight="1">
      <c r="A338" s="57" t="inlineStr">
        <is>
          <t>SFD-013</t>
        </is>
      </c>
      <c r="B338" s="57" t="n">
        <v>2</v>
      </c>
      <c r="C338" s="57" t="inlineStr">
        <is>
          <t>Blast Corps Cadet</t>
        </is>
      </c>
      <c r="D338" s="57" t="inlineStr">
        <is>
          <t>Fury</t>
        </is>
      </c>
      <c r="E338" s="57" t="inlineStr">
        <is>
          <t>Unit</t>
        </is>
      </c>
      <c r="F338" s="57" t="inlineStr">
        <is>
          <t>2</t>
        </is>
      </c>
      <c r="G338" s="57" t="inlineStr">
        <is>
          <t>2</t>
        </is>
      </c>
      <c r="H338" s="57" t="inlineStr">
        <is>
          <t>Uncommon</t>
        </is>
      </c>
      <c r="I338" s="57" t="inlineStr">
        <is>
          <t>Piltover</t>
        </is>
      </c>
      <c r="J338" s="3" t="inlineStr">
        <is>
          <t>You may pay 1 and Fury as an additional cost to play me.
When you play me, if you paid the additional cost, deal 2 to a unit at a battlefield.</t>
        </is>
      </c>
    </row>
    <row r="339" ht="15" customHeight="1">
      <c r="A339" s="57" t="inlineStr">
        <is>
          <t>SFD-014</t>
        </is>
      </c>
      <c r="B339" s="57" t="n">
        <v>3</v>
      </c>
      <c r="C339" s="57" t="inlineStr">
        <is>
          <t>Minotaur Reckoner</t>
        </is>
      </c>
      <c r="D339" s="57" t="inlineStr">
        <is>
          <t>Fury</t>
        </is>
      </c>
      <c r="E339" s="57" t="inlineStr">
        <is>
          <t>Unit</t>
        </is>
      </c>
      <c r="F339" s="57" t="inlineStr">
        <is>
          <t>5</t>
        </is>
      </c>
      <c r="G339" s="57" t="inlineStr">
        <is>
          <t>5</t>
        </is>
      </c>
      <c r="H339" s="57" t="inlineStr">
        <is>
          <t>Uncommon</t>
        </is>
      </c>
      <c r="I339" s="57" t="inlineStr">
        <is>
          <t>Noxus</t>
        </is>
      </c>
      <c r="J339" s="3" t="inlineStr">
        <is>
          <t>Units can't move to base.</t>
        </is>
      </c>
    </row>
    <row r="340" ht="15" customHeight="1">
      <c r="A340" s="57" t="inlineStr">
        <is>
          <t>SFD-015</t>
        </is>
      </c>
      <c r="B340" s="57" t="n">
        <v>1</v>
      </c>
      <c r="C340" s="57" t="inlineStr">
        <is>
          <t>Perched Grimwyrm</t>
        </is>
      </c>
      <c r="D340" s="57" t="inlineStr">
        <is>
          <t>Fury</t>
        </is>
      </c>
      <c r="E340" s="57" t="inlineStr">
        <is>
          <t>Unit</t>
        </is>
      </c>
      <c r="F340" s="57" t="inlineStr">
        <is>
          <t>4</t>
        </is>
      </c>
      <c r="G340" s="57" t="inlineStr">
        <is>
          <t>5</t>
        </is>
      </c>
      <c r="H340" s="57" t="inlineStr">
        <is>
          <t>Uncommon</t>
        </is>
      </c>
      <c r="I340" s="57" t="inlineStr">
        <is>
          <t>Dragon;Shadow Isles</t>
        </is>
      </c>
      <c r="J340" s="3" t="inlineStr">
        <is>
          <t>Play me only to a battlefield you conquered this turn. (You can't play me anywhere else.)</t>
        </is>
      </c>
    </row>
    <row r="341" ht="15" customHeight="1">
      <c r="A341" s="57" t="inlineStr">
        <is>
          <t>SFD-016</t>
        </is>
      </c>
      <c r="B341" s="57" t="n">
        <v>1</v>
      </c>
      <c r="C341" s="57" t="inlineStr">
        <is>
          <t>Recurve Bow</t>
        </is>
      </c>
      <c r="D341" s="57" t="inlineStr">
        <is>
          <t>Fury</t>
        </is>
      </c>
      <c r="E341" s="57" t="inlineStr">
        <is>
          <t>Gear</t>
        </is>
      </c>
      <c r="F341" s="57" t="inlineStr">
        <is>
          <t>2</t>
        </is>
      </c>
      <c r="G341" s="57" t="inlineStr"/>
      <c r="H341" s="57" t="inlineStr">
        <is>
          <t>Uncommon</t>
        </is>
      </c>
      <c r="I341" s="57" t="inlineStr">
        <is>
          <t>Equipment</t>
        </is>
      </c>
      <c r="J341" s="3" t="inlineStr">
        <is>
          <t>[EQUIP Fury] (Fury: Attach this to a unit you control.)
When I attack or defend, deal 2 to an enemy unit here.
Might +0</t>
        </is>
      </c>
    </row>
    <row r="342" ht="15" customHeight="1">
      <c r="A342" s="16" t="inlineStr">
        <is>
          <t>SFD-017</t>
        </is>
      </c>
      <c r="B342" s="16" t="inlineStr"/>
      <c r="C342" s="16" t="inlineStr">
        <is>
          <t>Sudden Storm</t>
        </is>
      </c>
      <c r="D342" s="16" t="inlineStr">
        <is>
          <t>Fury</t>
        </is>
      </c>
      <c r="E342" s="16" t="inlineStr">
        <is>
          <t>Spell</t>
        </is>
      </c>
      <c r="F342" s="16" t="inlineStr">
        <is>
          <t>3</t>
        </is>
      </c>
      <c r="G342" s="16" t="inlineStr"/>
      <c r="H342" s="16" t="inlineStr">
        <is>
          <t>Uncommon</t>
        </is>
      </c>
      <c r="I342" s="16" t="inlineStr"/>
      <c r="J342" s="17" t="inlineStr">
        <is>
          <t>[HIDDEN] (Hide now for 0 to react with later for 0.)
[ACTION] (Play on your turn or in showdowns.)
Deal 2 to a unit at a battlefield. If it's attacking, deal 4 to it instead.</t>
        </is>
      </c>
    </row>
    <row r="343" ht="15" customHeight="1">
      <c r="A343" s="16" t="inlineStr">
        <is>
          <t>SFD-018</t>
        </is>
      </c>
      <c r="B343" s="16" t="inlineStr"/>
      <c r="C343" s="16" t="inlineStr">
        <is>
          <t>Void Hatchling</t>
        </is>
      </c>
      <c r="D343" s="16" t="inlineStr">
        <is>
          <t>Fury</t>
        </is>
      </c>
      <c r="E343" s="16" t="inlineStr">
        <is>
          <t>Unit</t>
        </is>
      </c>
      <c r="F343" s="16" t="inlineStr">
        <is>
          <t>2</t>
        </is>
      </c>
      <c r="G343" s="16" t="inlineStr">
        <is>
          <t>2</t>
        </is>
      </c>
      <c r="H343" s="16" t="inlineStr">
        <is>
          <t>Uncommon</t>
        </is>
      </c>
      <c r="I343" s="16" t="inlineStr">
        <is>
          <t>The Void</t>
        </is>
      </c>
      <c r="J343" s="17" t="inlineStr">
        <is>
          <t>If you would reveal cards from a deck, look at the top card first. You may recycle it. Then reveal those cards.</t>
        </is>
      </c>
    </row>
    <row r="344" ht="15" customHeight="1">
      <c r="A344" s="57" t="inlineStr">
        <is>
          <t>SFD-019</t>
        </is>
      </c>
      <c r="B344" s="57" t="n">
        <v>1</v>
      </c>
      <c r="C344" s="57" t="inlineStr">
        <is>
          <t>Assembly Rig</t>
        </is>
      </c>
      <c r="D344" s="57" t="inlineStr">
        <is>
          <t>Fury</t>
        </is>
      </c>
      <c r="E344" s="57" t="inlineStr">
        <is>
          <t>Gear</t>
        </is>
      </c>
      <c r="F344" s="57" t="inlineStr">
        <is>
          <t>4</t>
        </is>
      </c>
      <c r="G344" s="57" t="inlineStr"/>
      <c r="H344" s="57" t="inlineStr">
        <is>
          <t>Rare</t>
        </is>
      </c>
      <c r="I344" s="57" t="inlineStr"/>
      <c r="J344" s="3" t="inlineStr">
        <is>
          <t>1, Fury, Recycle a unit from your trash, Exhaust: Play a 3 Might Mech unit token to your base.</t>
        </is>
      </c>
    </row>
    <row r="345" ht="15" customHeight="1">
      <c r="A345" s="57" t="inlineStr">
        <is>
          <t>SFD-020</t>
        </is>
      </c>
      <c r="B345" s="57" t="n">
        <v>1</v>
      </c>
      <c r="C345" s="57" t="inlineStr">
        <is>
          <t>Draven - Vanquisher</t>
        </is>
      </c>
      <c r="D345" s="57" t="inlineStr">
        <is>
          <t>Fury</t>
        </is>
      </c>
      <c r="E345" s="57" t="inlineStr">
        <is>
          <t>Champion Unit</t>
        </is>
      </c>
      <c r="F345" s="57" t="inlineStr">
        <is>
          <t>4</t>
        </is>
      </c>
      <c r="G345" s="57" t="inlineStr">
        <is>
          <t>4</t>
        </is>
      </c>
      <c r="H345" s="57" t="inlineStr">
        <is>
          <t>Rare</t>
        </is>
      </c>
      <c r="I345" s="57" t="inlineStr">
        <is>
          <t>Noxus;Draven</t>
        </is>
      </c>
      <c r="J345" s="3" t="inlineStr">
        <is>
          <t>When I win a combat, play a Gold gear token exhausted. When I attack or defend, you may pay Fury. If you do, give me +2 Might this turn.</t>
        </is>
      </c>
    </row>
    <row r="346" ht="15" customHeight="1">
      <c r="A346" s="57" t="inlineStr">
        <is>
          <t>SFD-021</t>
        </is>
      </c>
      <c r="B346" s="57" t="n">
        <v>3</v>
      </c>
      <c r="C346" s="57" t="inlineStr">
        <is>
          <t>Ferrous Forerunner</t>
        </is>
      </c>
      <c r="D346" s="57" t="inlineStr">
        <is>
          <t>Fury</t>
        </is>
      </c>
      <c r="E346" s="57" t="inlineStr">
        <is>
          <t>Unit</t>
        </is>
      </c>
      <c r="F346" s="57" t="inlineStr">
        <is>
          <t>6</t>
        </is>
      </c>
      <c r="G346" s="57" t="inlineStr">
        <is>
          <t>6</t>
        </is>
      </c>
      <c r="H346" s="57" t="inlineStr">
        <is>
          <t>Rare</t>
        </is>
      </c>
      <c r="I346" s="57" t="inlineStr">
        <is>
          <t>Bandle City;Mech;Yordle</t>
        </is>
      </c>
      <c r="J346" s="3" t="inlineStr">
        <is>
          <t>[DEATHKNELL] — Play two 3 Might Mech unit tokens to your base. (When I die, get the effect.)</t>
        </is>
      </c>
    </row>
    <row r="347" ht="15" customHeight="1">
      <c r="A347" s="57" t="inlineStr">
        <is>
          <t>SFD-022</t>
        </is>
      </c>
      <c r="B347" s="57" t="n">
        <v>2</v>
      </c>
      <c r="C347" s="57" t="inlineStr">
        <is>
          <t>Long Sword</t>
        </is>
      </c>
      <c r="D347" s="57" t="inlineStr">
        <is>
          <t>Fury</t>
        </is>
      </c>
      <c r="E347" s="57" t="inlineStr">
        <is>
          <t>Gear</t>
        </is>
      </c>
      <c r="F347" s="57" t="inlineStr">
        <is>
          <t>2</t>
        </is>
      </c>
      <c r="G347" s="57" t="inlineStr">
        <is>
          <t>0</t>
        </is>
      </c>
      <c r="H347" s="57" t="inlineStr">
        <is>
          <t>Rare</t>
        </is>
      </c>
      <c r="I347" s="57" t="inlineStr">
        <is>
          <t>Equipment</t>
        </is>
      </c>
      <c r="J347" s="3" t="inlineStr">
        <is>
          <t>[QUICK-DRAW] (This has REACTION. When you play it, attach it to a unit you control.)
[EQUIP Fury] (Fury: Attach this to a unit you control.)
Might +2</t>
        </is>
      </c>
    </row>
    <row r="348" ht="15" customHeight="1">
      <c r="A348" s="16" t="inlineStr">
        <is>
          <t>SFD-023</t>
        </is>
      </c>
      <c r="B348" s="16" t="inlineStr"/>
      <c r="C348" s="16" t="inlineStr">
        <is>
          <t>Piercing Light</t>
        </is>
      </c>
      <c r="D348" s="16" t="inlineStr">
        <is>
          <t>Fury</t>
        </is>
      </c>
      <c r="E348" s="16" t="inlineStr">
        <is>
          <t>Spell</t>
        </is>
      </c>
      <c r="F348" s="16" t="inlineStr">
        <is>
          <t>2</t>
        </is>
      </c>
      <c r="G348" s="16" t="inlineStr"/>
      <c r="H348" s="16" t="inlineStr">
        <is>
          <t>Rare</t>
        </is>
      </c>
      <c r="I348" s="16" t="inlineStr"/>
      <c r="J348" s="17" t="inlineStr">
        <is>
          <t>[REPEAT 2, Fury]  (You may pay the additional cost to repeat this spell's effect.)
Deal 2 to a unit at a battlefield, then deal 2 to up to one other unit.</t>
        </is>
      </c>
    </row>
    <row r="349" ht="15" customHeight="1">
      <c r="A349" s="57" t="inlineStr">
        <is>
          <t>SFD-024</t>
        </is>
      </c>
      <c r="B349" s="57" t="n">
        <v>3</v>
      </c>
      <c r="C349" s="57" t="inlineStr">
        <is>
          <t>Rell - Magnetic</t>
        </is>
      </c>
      <c r="D349" s="57" t="inlineStr">
        <is>
          <t>Fury</t>
        </is>
      </c>
      <c r="E349" s="57" t="inlineStr">
        <is>
          <t>Champion Unit</t>
        </is>
      </c>
      <c r="F349" s="57" t="inlineStr">
        <is>
          <t>4</t>
        </is>
      </c>
      <c r="G349" s="57" t="inlineStr"/>
      <c r="H349" s="57" t="inlineStr">
        <is>
          <t>Rare</t>
        </is>
      </c>
      <c r="I349" s="57" t="inlineStr">
        <is>
          <t>Noxus</t>
        </is>
      </c>
      <c r="J349" s="3" t="inlineStr">
        <is>
          <t>[TANK] (I must be assigned combat damage first.)
When I attack, you may play an Equipment with Energy cost no more than 2, ignoring its cost, and attach it to me.</t>
        </is>
      </c>
    </row>
    <row r="350" ht="15" customHeight="1">
      <c r="A350" s="57" t="inlineStr">
        <is>
          <t>SFD-025</t>
        </is>
      </c>
      <c r="B350" s="57" t="n">
        <v>1</v>
      </c>
      <c r="C350" s="57" t="inlineStr">
        <is>
          <t>Rengar - Pouncing</t>
        </is>
      </c>
      <c r="D350" s="57" t="inlineStr">
        <is>
          <t>Fury</t>
        </is>
      </c>
      <c r="E350" s="57" t="inlineStr">
        <is>
          <t>Champion Unit</t>
        </is>
      </c>
      <c r="F350" s="57" t="inlineStr">
        <is>
          <t>3</t>
        </is>
      </c>
      <c r="G350" s="57" t="inlineStr">
        <is>
          <t>3</t>
        </is>
      </c>
      <c r="H350" s="57" t="inlineStr">
        <is>
          <t>Rare</t>
        </is>
      </c>
      <c r="I350" s="57" t="inlineStr">
        <is>
          <t>Cat;Ixtal;Rengar</t>
        </is>
      </c>
      <c r="J350" s="3" t="inlineStr">
        <is>
          <t>[REACTION] (Play any time, even before spells and abilities resolve, including to a battlefield you control.) [ASSAULT 2] (+2 Might while I'm an attacker.) I can be played to a battlefield you're attacking.</t>
        </is>
      </c>
    </row>
    <row r="351" ht="15" customHeight="1">
      <c r="A351" s="57" t="inlineStr">
        <is>
          <t>SFD-026</t>
        </is>
      </c>
      <c r="B351" s="57" t="n">
        <v>2</v>
      </c>
      <c r="C351" s="57" t="inlineStr">
        <is>
          <t>Rumble - Hotheaded</t>
        </is>
      </c>
      <c r="D351" s="57" t="inlineStr">
        <is>
          <t>Fury</t>
        </is>
      </c>
      <c r="E351" s="57" t="inlineStr">
        <is>
          <t>Champion Unit</t>
        </is>
      </c>
      <c r="F351" s="57" t="inlineStr">
        <is>
          <t>4</t>
        </is>
      </c>
      <c r="G351" s="57" t="inlineStr">
        <is>
          <t>4</t>
        </is>
      </c>
      <c r="H351" s="57" t="inlineStr">
        <is>
          <t>Rare</t>
        </is>
      </c>
      <c r="I351" s="57" t="inlineStr">
        <is>
          <t>Bandle City;Mech;Yordle;Rumble</t>
        </is>
      </c>
      <c r="J351" s="3" t="inlineStr">
        <is>
          <t>Your Mechs each have [ASSAULT]. (+1  while we're attackers.)
When I conquer, you may recycle another friendly unit to play a Mech from your trash. Reduce its Energy cost by the Might of the unit you recycled.</t>
        </is>
      </c>
    </row>
    <row r="352" ht="15" customHeight="1">
      <c r="A352" s="16" t="inlineStr">
        <is>
          <t>SFD-027</t>
        </is>
      </c>
      <c r="B352" s="16" t="inlineStr"/>
      <c r="C352" s="16" t="inlineStr">
        <is>
          <t>Dunebreaker</t>
        </is>
      </c>
      <c r="D352" s="16" t="inlineStr">
        <is>
          <t>Fury</t>
        </is>
      </c>
      <c r="E352" s="16" t="inlineStr">
        <is>
          <t>Unit</t>
        </is>
      </c>
      <c r="F352" s="16" t="inlineStr">
        <is>
          <t>7</t>
        </is>
      </c>
      <c r="G352" s="16" t="inlineStr">
        <is>
          <t>7</t>
        </is>
      </c>
      <c r="H352" s="16" t="inlineStr">
        <is>
          <t>Epic</t>
        </is>
      </c>
      <c r="I352" s="16" t="inlineStr">
        <is>
          <t>The Void</t>
        </is>
      </c>
      <c r="J352" s="17" t="inlineStr">
        <is>
          <t>If you have two or fewer cards in your hand, I enter ready. When I hold, draw 2.</t>
        </is>
      </c>
    </row>
    <row r="353" ht="15" customHeight="1">
      <c r="A353" s="16" t="inlineStr">
        <is>
          <t>SFD-028</t>
        </is>
      </c>
      <c r="B353" s="16" t="inlineStr"/>
      <c r="C353" s="16" t="inlineStr">
        <is>
          <t>Lucian - Gunslinger</t>
        </is>
      </c>
      <c r="D353" s="16" t="inlineStr">
        <is>
          <t>Fury</t>
        </is>
      </c>
      <c r="E353" s="16" t="inlineStr">
        <is>
          <t>Champion Unit</t>
        </is>
      </c>
      <c r="F353" s="16" t="inlineStr">
        <is>
          <t>3</t>
        </is>
      </c>
      <c r="G353" s="16" t="inlineStr">
        <is>
          <t>2</t>
        </is>
      </c>
      <c r="H353" s="16" t="inlineStr">
        <is>
          <t>Epic</t>
        </is>
      </c>
      <c r="I353" s="16" t="inlineStr">
        <is>
          <t>Demacia;Lucian;Sentinel</t>
        </is>
      </c>
      <c r="J353" s="17" t="inlineStr">
        <is>
          <t>[ASSAULT] (+1 Might while I'm an attacker.) When I attack, deal damage equal to my [ASSAULT] to an enemy unit here.</t>
        </is>
      </c>
    </row>
    <row r="354" ht="15" customHeight="1">
      <c r="A354" s="16" t="inlineStr">
        <is>
          <t>SFD-029</t>
        </is>
      </c>
      <c r="B354" s="16" t="inlineStr"/>
      <c r="C354" s="16" t="inlineStr">
        <is>
          <t>Rek'Sai - Breacher</t>
        </is>
      </c>
      <c r="D354" s="16" t="inlineStr">
        <is>
          <t>Fury</t>
        </is>
      </c>
      <c r="E354" s="16" t="inlineStr">
        <is>
          <t>Champion Unit</t>
        </is>
      </c>
      <c r="F354" s="16" t="inlineStr">
        <is>
          <t>3</t>
        </is>
      </c>
      <c r="G354" s="16" t="inlineStr">
        <is>
          <t>3</t>
        </is>
      </c>
      <c r="H354" s="16" t="inlineStr">
        <is>
          <t>Epic</t>
        </is>
      </c>
      <c r="I354" s="16" t="inlineStr">
        <is>
          <t>The Void;Rek'Sai</t>
        </is>
      </c>
      <c r="J354" s="17" t="inlineStr">
        <is>
          <t>[ACCELERATE] (You may pay 1 Fury as an additional cost to have me enter ready.) [ASSAULT] (+1 Might while I'm an attacker.) Friendly units played from anywhere other than a player's hand have [ACCELERATE].</t>
        </is>
      </c>
    </row>
    <row r="355" ht="15" customHeight="1">
      <c r="A355" s="57" t="inlineStr">
        <is>
          <t>SFD-030</t>
        </is>
      </c>
      <c r="B355" s="57" t="n">
        <v>1</v>
      </c>
      <c r="C355" s="57" t="inlineStr">
        <is>
          <t>Skyfall of Areion</t>
        </is>
      </c>
      <c r="D355" s="57" t="inlineStr">
        <is>
          <t>Fury</t>
        </is>
      </c>
      <c r="E355" s="57" t="inlineStr">
        <is>
          <t>Gear</t>
        </is>
      </c>
      <c r="F355" s="57" t="inlineStr">
        <is>
          <t>3</t>
        </is>
      </c>
      <c r="G355" s="57" t="inlineStr"/>
      <c r="H355" s="57" t="inlineStr">
        <is>
          <t>Epic</t>
        </is>
      </c>
      <c r="I355" s="57" t="inlineStr">
        <is>
          <t>Equipment</t>
        </is>
      </c>
      <c r="J355" s="3" t="inlineStr">
        <is>
          <t>[EQUIP 1, Fury] (1, Fury: Attach this to a unit you control.) My hold effects are also conquer effects, and vice verse. Might +2</t>
        </is>
      </c>
    </row>
    <row r="356" ht="15" customHeight="1">
      <c r="A356" s="49" t="inlineStr">
        <is>
          <t>SFD-031</t>
        </is>
      </c>
      <c r="B356" s="49" t="n">
        <v>3</v>
      </c>
      <c r="C356" s="49" t="inlineStr">
        <is>
          <t>Desert's Call</t>
        </is>
      </c>
      <c r="D356" s="49" t="inlineStr">
        <is>
          <t>Calm</t>
        </is>
      </c>
      <c r="E356" s="49" t="inlineStr">
        <is>
          <t>Spell</t>
        </is>
      </c>
      <c r="F356" s="49" t="inlineStr">
        <is>
          <t>2</t>
        </is>
      </c>
      <c r="G356" s="49" t="inlineStr"/>
      <c r="H356" s="49" t="inlineStr">
        <is>
          <t>Common</t>
        </is>
      </c>
      <c r="I356" s="49" t="inlineStr"/>
      <c r="J356" s="5" t="inlineStr">
        <is>
          <t>[REPEAT 2] (You may pay the additional cost to repeat this spell's effect)
Play a 2 Might Sand Soldier unit token.</t>
        </is>
      </c>
    </row>
    <row r="357" ht="15" customHeight="1">
      <c r="A357" s="49" t="inlineStr">
        <is>
          <t>SFD-032</t>
        </is>
      </c>
      <c r="B357" s="49" t="n">
        <v>3</v>
      </c>
      <c r="C357" s="49" t="inlineStr">
        <is>
          <t>Disarming Rake</t>
        </is>
      </c>
      <c r="D357" s="49" t="inlineStr">
        <is>
          <t>Calm</t>
        </is>
      </c>
      <c r="E357" s="49" t="inlineStr">
        <is>
          <t>Unit</t>
        </is>
      </c>
      <c r="F357" s="49" t="inlineStr">
        <is>
          <t>3</t>
        </is>
      </c>
      <c r="G357" s="49" t="inlineStr">
        <is>
          <t>2</t>
        </is>
      </c>
      <c r="H357" s="49" t="inlineStr">
        <is>
          <t>Common</t>
        </is>
      </c>
      <c r="I357" s="49" t="inlineStr">
        <is>
          <t>Demacia</t>
        </is>
      </c>
      <c r="J357" s="5" t="inlineStr">
        <is>
          <t>When you play me, you may kill a gear.</t>
        </is>
      </c>
    </row>
    <row r="358" ht="15" customHeight="1">
      <c r="A358" s="49" t="inlineStr">
        <is>
          <t>SFD-033</t>
        </is>
      </c>
      <c r="B358" s="49" t="n">
        <v>3</v>
      </c>
      <c r="C358" s="49" t="inlineStr">
        <is>
          <t>Doran's Shield</t>
        </is>
      </c>
      <c r="D358" s="49" t="inlineStr">
        <is>
          <t>Calm</t>
        </is>
      </c>
      <c r="E358" s="49" t="inlineStr">
        <is>
          <t>Gear</t>
        </is>
      </c>
      <c r="F358" s="49" t="inlineStr">
        <is>
          <t>1</t>
        </is>
      </c>
      <c r="G358" s="49" t="inlineStr">
        <is>
          <t>0</t>
        </is>
      </c>
      <c r="H358" s="49" t="inlineStr">
        <is>
          <t>Common</t>
        </is>
      </c>
      <c r="I358" s="49" t="inlineStr">
        <is>
          <t>Equipment</t>
        </is>
      </c>
      <c r="J358" s="5" t="inlineStr">
        <is>
          <t>[EQUIP Calm] (Calm: Attach this to a unit you control.)
TANK (I must be assigned combat damage first.) +1 Might</t>
        </is>
      </c>
    </row>
    <row r="359" ht="15" customHeight="1">
      <c r="A359" s="49" t="inlineStr">
        <is>
          <t>SFD-034</t>
        </is>
      </c>
      <c r="B359" s="49" t="n">
        <v>3</v>
      </c>
      <c r="C359" s="49" t="inlineStr">
        <is>
          <t>Feral Strength</t>
        </is>
      </c>
      <c r="D359" s="49" t="inlineStr">
        <is>
          <t>Calm</t>
        </is>
      </c>
      <c r="E359" s="49" t="inlineStr">
        <is>
          <t>Spell</t>
        </is>
      </c>
      <c r="F359" s="49" t="inlineStr">
        <is>
          <t>2</t>
        </is>
      </c>
      <c r="G359" s="49" t="inlineStr">
        <is>
          <t>0</t>
        </is>
      </c>
      <c r="H359" s="49" t="inlineStr">
        <is>
          <t>Common</t>
        </is>
      </c>
      <c r="I359" s="49" t="inlineStr"/>
      <c r="J359" s="5" t="inlineStr">
        <is>
          <t>REACTION (Play any time, even before spells and abilities resolve.)
[REPEAT 2] (You may pay the additional cost to repeat this spell's effect.)
Give a unit +2 Might this turn.</t>
        </is>
      </c>
    </row>
    <row r="360" ht="15" customHeight="1">
      <c r="A360" s="49" t="inlineStr">
        <is>
          <t>SFD-035</t>
        </is>
      </c>
      <c r="B360" s="49" t="n">
        <v>1</v>
      </c>
      <c r="C360" s="49" t="inlineStr">
        <is>
          <t>Guardian of the Passage</t>
        </is>
      </c>
      <c r="D360" s="49" t="inlineStr">
        <is>
          <t>Calm</t>
        </is>
      </c>
      <c r="E360" s="49" t="inlineStr">
        <is>
          <t>Unit</t>
        </is>
      </c>
      <c r="F360" s="49" t="inlineStr">
        <is>
          <t>6</t>
        </is>
      </c>
      <c r="G360" s="49" t="inlineStr">
        <is>
          <t>6</t>
        </is>
      </c>
      <c r="H360" s="49" t="inlineStr">
        <is>
          <t>Common</t>
        </is>
      </c>
      <c r="I360" s="49" t="inlineStr">
        <is>
          <t>Shadow Isles;Spirit</t>
        </is>
      </c>
      <c r="J360" s="5" t="inlineStr">
        <is>
          <t>When I hold, you may return a unit or gear from your trash to your hand.</t>
        </is>
      </c>
    </row>
    <row r="361" ht="15" customHeight="1">
      <c r="A361" s="49" t="inlineStr">
        <is>
          <t>SFD-036</t>
        </is>
      </c>
      <c r="B361" s="49" t="n">
        <v>1</v>
      </c>
      <c r="C361" s="49" t="inlineStr">
        <is>
          <t>Lonely Poro</t>
        </is>
      </c>
      <c r="D361" s="49" t="inlineStr">
        <is>
          <t>Calm</t>
        </is>
      </c>
      <c r="E361" s="49" t="inlineStr">
        <is>
          <t>Unit</t>
        </is>
      </c>
      <c r="F361" s="49" t="inlineStr">
        <is>
          <t>2</t>
        </is>
      </c>
      <c r="G361" s="49" t="inlineStr">
        <is>
          <t>2</t>
        </is>
      </c>
      <c r="H361" s="49" t="inlineStr">
        <is>
          <t>Common</t>
        </is>
      </c>
      <c r="I361" s="49" t="inlineStr">
        <is>
          <t>Freljord;Poro</t>
        </is>
      </c>
      <c r="J361" s="5" t="inlineStr">
        <is>
          <t>[DEATHKNELL] — If I died alone, draw 1. (When I die, get the effect. I'm alone if there are no other friendly units here.)</t>
        </is>
      </c>
    </row>
    <row r="362" ht="15" customHeight="1">
      <c r="A362" s="49" t="inlineStr">
        <is>
          <t>SFD-037</t>
        </is>
      </c>
      <c r="B362" s="49" t="n">
        <v>2</v>
      </c>
      <c r="C362" s="49" t="inlineStr">
        <is>
          <t>Navori Scout</t>
        </is>
      </c>
      <c r="D362" s="49" t="inlineStr">
        <is>
          <t>Calm</t>
        </is>
      </c>
      <c r="E362" s="49" t="inlineStr">
        <is>
          <t>Unit</t>
        </is>
      </c>
      <c r="F362" s="49" t="inlineStr">
        <is>
          <t>4</t>
        </is>
      </c>
      <c r="G362" s="49" t="inlineStr">
        <is>
          <t>4</t>
        </is>
      </c>
      <c r="H362" s="49" t="inlineStr">
        <is>
          <t>Common</t>
        </is>
      </c>
      <c r="I362" s="49" t="inlineStr">
        <is>
          <t>Ionia;Yordle</t>
        </is>
      </c>
      <c r="J362" s="5" t="inlineStr">
        <is>
          <t>[DEFLECT] (Opponents must pay Rune to choose me with a spell or ability.)</t>
        </is>
      </c>
    </row>
    <row r="363" ht="15" customHeight="1">
      <c r="A363" s="49" t="inlineStr">
        <is>
          <t>SFD-038</t>
        </is>
      </c>
      <c r="B363" s="49" t="n">
        <v>3</v>
      </c>
      <c r="C363" s="49" t="inlineStr">
        <is>
          <t>Ribbon Dancer</t>
        </is>
      </c>
      <c r="D363" s="49" t="inlineStr">
        <is>
          <t>Calm</t>
        </is>
      </c>
      <c r="E363" s="49" t="inlineStr">
        <is>
          <t>Unit</t>
        </is>
      </c>
      <c r="F363" s="49" t="inlineStr">
        <is>
          <t>3</t>
        </is>
      </c>
      <c r="G363" s="49" t="inlineStr">
        <is>
          <t>3</t>
        </is>
      </c>
      <c r="H363" s="49" t="inlineStr">
        <is>
          <t>Common</t>
        </is>
      </c>
      <c r="I363" s="49" t="inlineStr">
        <is>
          <t>Ionia</t>
        </is>
      </c>
      <c r="J363" s="5" t="inlineStr">
        <is>
          <t>When I move to a battlefield, give another friendly unit +1 Might this turn.</t>
        </is>
      </c>
    </row>
    <row r="364" ht="15" customHeight="1">
      <c r="A364" s="49" t="inlineStr">
        <is>
          <t>SFD-039</t>
        </is>
      </c>
      <c r="B364" s="49" t="n">
        <v>3</v>
      </c>
      <c r="C364" s="49" t="inlineStr">
        <is>
          <t>Royal Entourage</t>
        </is>
      </c>
      <c r="D364" s="49" t="inlineStr">
        <is>
          <t>Calm</t>
        </is>
      </c>
      <c r="E364" s="49" t="inlineStr">
        <is>
          <t>Unit</t>
        </is>
      </c>
      <c r="F364" s="49" t="inlineStr">
        <is>
          <t>3</t>
        </is>
      </c>
      <c r="G364" s="49" t="inlineStr">
        <is>
          <t>4</t>
        </is>
      </c>
      <c r="H364" s="49" t="inlineStr">
        <is>
          <t>Common</t>
        </is>
      </c>
      <c r="I364" s="49" t="inlineStr">
        <is>
          <t>Shurima</t>
        </is>
      </c>
      <c r="J364" s="5" t="inlineStr">
        <is>
          <t>When you play me, ready or exhaust a legend.</t>
        </is>
      </c>
    </row>
    <row r="365" ht="15" customHeight="1">
      <c r="A365" s="49" t="inlineStr">
        <is>
          <t>SFD-040</t>
        </is>
      </c>
      <c r="B365" s="49" t="n">
        <v>3</v>
      </c>
      <c r="C365" s="49" t="inlineStr">
        <is>
          <t>Thwonk!</t>
        </is>
      </c>
      <c r="D365" s="49" t="inlineStr">
        <is>
          <t>Calm</t>
        </is>
      </c>
      <c r="E365" s="49" t="inlineStr">
        <is>
          <t>Spell</t>
        </is>
      </c>
      <c r="F365" s="49" t="inlineStr">
        <is>
          <t>2</t>
        </is>
      </c>
      <c r="G365" s="49" t="inlineStr"/>
      <c r="H365" s="49" t="inlineStr">
        <is>
          <t>Common</t>
        </is>
      </c>
      <c r="I365" s="49" t="inlineStr"/>
      <c r="J365" s="5" t="inlineStr">
        <is>
          <t>[ACTION] (Play on your turn or in showdowns.)
[REPEAT]  (You may pay the additional cost to repeat this spell's effect.)
Stun an attacking unit. (It doesn't deal combat damage this turn.)</t>
        </is>
      </c>
    </row>
    <row r="366" ht="15" customHeight="1">
      <c r="A366" s="49" t="inlineStr">
        <is>
          <t>SFD-041</t>
        </is>
      </c>
      <c r="B366" s="49" t="n">
        <v>2</v>
      </c>
      <c r="C366" s="49" t="inlineStr">
        <is>
          <t>Apprentice Smith</t>
        </is>
      </c>
      <c r="D366" s="49" t="inlineStr">
        <is>
          <t>Calm</t>
        </is>
      </c>
      <c r="E366" s="49" t="inlineStr">
        <is>
          <t>Unit</t>
        </is>
      </c>
      <c r="F366" s="49" t="inlineStr">
        <is>
          <t>2</t>
        </is>
      </c>
      <c r="G366" s="49" t="inlineStr">
        <is>
          <t>2</t>
        </is>
      </c>
      <c r="H366" s="49" t="inlineStr">
        <is>
          <t>Uncommon</t>
        </is>
      </c>
      <c r="I366" s="49" t="inlineStr">
        <is>
          <t>Freljord</t>
        </is>
      </c>
      <c r="J366" s="5" t="inlineStr">
        <is>
          <t>When I move, reveal the top card of your Main Deck. If it's a gear, draw it. Otherwise, recycle it.</t>
        </is>
      </c>
    </row>
    <row r="367" ht="15" customHeight="1">
      <c r="A367" s="18" t="inlineStr">
        <is>
          <t>SFD-042</t>
        </is>
      </c>
      <c r="B367" s="18" t="inlineStr"/>
      <c r="C367" s="18" t="inlineStr">
        <is>
          <t>Brutalizer</t>
        </is>
      </c>
      <c r="D367" s="18" t="inlineStr">
        <is>
          <t>Calm</t>
        </is>
      </c>
      <c r="E367" s="18" t="inlineStr">
        <is>
          <t>Gear</t>
        </is>
      </c>
      <c r="F367" s="18" t="inlineStr">
        <is>
          <t>2</t>
        </is>
      </c>
      <c r="G367" s="18" t="inlineStr"/>
      <c r="H367" s="18" t="inlineStr">
        <is>
          <t>Uncommon</t>
        </is>
      </c>
      <c r="I367" s="18" t="inlineStr">
        <is>
          <t>Equipment</t>
        </is>
      </c>
      <c r="J367" s="19" t="inlineStr">
        <is>
          <t>[EQUIP Calm]  (Calm: Attach this to a unit you control.)
If this was attached to me this turn, I have an additional +2 Might. 
+1 Might.</t>
        </is>
      </c>
    </row>
    <row r="368" ht="15" customHeight="1">
      <c r="A368" s="49" t="inlineStr">
        <is>
          <t>SFD-043</t>
        </is>
      </c>
      <c r="B368" s="49" t="n">
        <v>1</v>
      </c>
      <c r="C368" s="49" t="inlineStr">
        <is>
          <t>Emperor's Divide</t>
        </is>
      </c>
      <c r="D368" s="49" t="inlineStr">
        <is>
          <t>Calm</t>
        </is>
      </c>
      <c r="E368" s="49" t="inlineStr">
        <is>
          <t>Spell</t>
        </is>
      </c>
      <c r="F368" s="49" t="inlineStr">
        <is>
          <t>2</t>
        </is>
      </c>
      <c r="G368" s="49" t="inlineStr"/>
      <c r="H368" s="49" t="inlineStr">
        <is>
          <t>Uncommon</t>
        </is>
      </c>
      <c r="I368" s="49" t="inlineStr">
        <is>
          <t>None</t>
        </is>
      </c>
      <c r="J368" s="5" t="inlineStr">
        <is>
          <t>[HIDDEN] (Hide for now Rune to react with later for 0.)
[ACTION] (Play on your turn or in showdowns.)
Move any number of friendly units at a battlefield on their base.</t>
        </is>
      </c>
    </row>
    <row r="369" ht="15" customHeight="1">
      <c r="A369" s="18" t="inlineStr">
        <is>
          <t>SFD-044</t>
        </is>
      </c>
      <c r="B369" s="18" t="inlineStr"/>
      <c r="C369" s="18" t="inlineStr">
        <is>
          <t>Legion Quartermaster</t>
        </is>
      </c>
      <c r="D369" s="18" t="inlineStr">
        <is>
          <t>Calm</t>
        </is>
      </c>
      <c r="E369" s="18" t="inlineStr">
        <is>
          <t>Unit</t>
        </is>
      </c>
      <c r="F369" s="18" t="inlineStr">
        <is>
          <t>3</t>
        </is>
      </c>
      <c r="G369" s="18" t="inlineStr">
        <is>
          <t>4</t>
        </is>
      </c>
      <c r="H369" s="18" t="inlineStr">
        <is>
          <t>Uncommon</t>
        </is>
      </c>
      <c r="I369" s="18" t="inlineStr">
        <is>
          <t>Noxus;Trifarian</t>
        </is>
      </c>
      <c r="J369" s="19" t="inlineStr">
        <is>
          <t>As an additional cost to play me, return a friendly gear to its owner's hand.</t>
        </is>
      </c>
    </row>
    <row r="370" ht="15" customHeight="1">
      <c r="A370" s="49" t="inlineStr">
        <is>
          <t>SFD-045</t>
        </is>
      </c>
      <c r="B370" s="49" t="n">
        <v>2</v>
      </c>
      <c r="C370" s="49" t="inlineStr">
        <is>
          <t>Not So Fast</t>
        </is>
      </c>
      <c r="D370" s="49" t="inlineStr">
        <is>
          <t>Calm</t>
        </is>
      </c>
      <c r="E370" s="49" t="inlineStr">
        <is>
          <t>Spell</t>
        </is>
      </c>
      <c r="F370" s="49" t="inlineStr">
        <is>
          <t>2</t>
        </is>
      </c>
      <c r="G370" s="49" t="inlineStr">
        <is>
          <t>0</t>
        </is>
      </c>
      <c r="H370" s="49" t="inlineStr">
        <is>
          <t>Uncommon</t>
        </is>
      </c>
      <c r="I370" s="49" t="inlineStr"/>
      <c r="J370" s="5" t="inlineStr">
        <is>
          <t>[REACTION] (Play any time, even before spells and abilities resolve.)
Counter an enemy spell or ability that chooses a friendly unit or gear.</t>
        </is>
      </c>
    </row>
    <row r="371" ht="15" customHeight="1">
      <c r="A371" s="18" t="inlineStr">
        <is>
          <t>SFD-046</t>
        </is>
      </c>
      <c r="B371" s="18" t="inlineStr"/>
      <c r="C371" s="18" t="inlineStr">
        <is>
          <t>Poro Snax</t>
        </is>
      </c>
      <c r="D371" s="18" t="inlineStr">
        <is>
          <t>Calm</t>
        </is>
      </c>
      <c r="E371" s="18" t="inlineStr">
        <is>
          <t>Gear</t>
        </is>
      </c>
      <c r="F371" s="18" t="inlineStr">
        <is>
          <t>1</t>
        </is>
      </c>
      <c r="G371" s="18" t="inlineStr"/>
      <c r="H371" s="18" t="inlineStr">
        <is>
          <t>Uncommon</t>
        </is>
      </c>
      <c r="I371" s="18" t="inlineStr"/>
      <c r="J371" s="19" t="inlineStr">
        <is>
          <t>When you play this, draw 1.
1 Calm, Exhaust, Kill this: Draw 1.</t>
        </is>
      </c>
    </row>
    <row r="372" ht="15" customHeight="1">
      <c r="A372" s="49" t="inlineStr">
        <is>
          <t>SFD-047</t>
        </is>
      </c>
      <c r="B372" s="49" t="n">
        <v>2</v>
      </c>
      <c r="C372" s="49" t="inlineStr">
        <is>
          <t>Simian Ancestor</t>
        </is>
      </c>
      <c r="D372" s="49" t="inlineStr">
        <is>
          <t>Calm</t>
        </is>
      </c>
      <c r="E372" s="49" t="inlineStr">
        <is>
          <t>Unit</t>
        </is>
      </c>
      <c r="F372" s="49" t="inlineStr">
        <is>
          <t>5</t>
        </is>
      </c>
      <c r="G372" s="49" t="inlineStr">
        <is>
          <t>1</t>
        </is>
      </c>
      <c r="H372" s="49" t="inlineStr">
        <is>
          <t>Uncommon</t>
        </is>
      </c>
      <c r="I372" s="49" t="inlineStr">
        <is>
          <t>Ionia</t>
        </is>
      </c>
      <c r="J372" s="5" t="inlineStr">
        <is>
          <t>When you buff me, ready me.</t>
        </is>
      </c>
    </row>
    <row r="373" ht="15" customHeight="1">
      <c r="A373" s="49" t="inlineStr">
        <is>
          <t>SFD-048</t>
        </is>
      </c>
      <c r="B373" s="49" t="n">
        <v>1</v>
      </c>
      <c r="C373" s="49" t="inlineStr">
        <is>
          <t>Stellacorn Herder</t>
        </is>
      </c>
      <c r="D373" s="49" t="inlineStr">
        <is>
          <t>Calm</t>
        </is>
      </c>
      <c r="E373" s="49" t="inlineStr">
        <is>
          <t>Unit</t>
        </is>
      </c>
      <c r="F373" s="49" t="inlineStr">
        <is>
          <t>4</t>
        </is>
      </c>
      <c r="G373" s="49" t="inlineStr">
        <is>
          <t>3</t>
        </is>
      </c>
      <c r="H373" s="49" t="inlineStr">
        <is>
          <t>Uncommon</t>
        </is>
      </c>
      <c r="I373" s="49" t="inlineStr">
        <is>
          <t>Mount Targon</t>
        </is>
      </c>
      <c r="J373" s="5" t="inlineStr">
        <is>
          <t>When I move, draw 1.</t>
        </is>
      </c>
    </row>
    <row r="374" ht="15" customHeight="1">
      <c r="A374" s="18" t="inlineStr">
        <is>
          <t>SFD-049</t>
        </is>
      </c>
      <c r="B374" s="18" t="inlineStr"/>
      <c r="C374" s="18" t="inlineStr">
        <is>
          <t>Aphelios - Exalted</t>
        </is>
      </c>
      <c r="D374" s="18" t="inlineStr">
        <is>
          <t>Calm</t>
        </is>
      </c>
      <c r="E374" s="18" t="inlineStr">
        <is>
          <t>Champion Unit</t>
        </is>
      </c>
      <c r="F374" s="18" t="inlineStr">
        <is>
          <t>4</t>
        </is>
      </c>
      <c r="G374" s="18" t="inlineStr">
        <is>
          <t>4</t>
        </is>
      </c>
      <c r="H374" s="18" t="inlineStr">
        <is>
          <t>Rare</t>
        </is>
      </c>
      <c r="I374" s="18" t="inlineStr">
        <is>
          <t>Mount Targon;Aphelios</t>
        </is>
      </c>
      <c r="J374" s="19" t="inlineStr">
        <is>
          <t>When you attach an Equipment to me, choose one that hasn't been chosen this turn — •Ready 2 runes. •Channel 1 rune exhausted. •Buff a friendly unit.</t>
        </is>
      </c>
    </row>
    <row r="375" ht="15" customHeight="1">
      <c r="A375" s="49" t="inlineStr">
        <is>
          <t>SFD-050</t>
        </is>
      </c>
      <c r="B375" s="49" t="n">
        <v>1</v>
      </c>
      <c r="C375" s="49" t="inlineStr">
        <is>
          <t>Azir - Ascendant</t>
        </is>
      </c>
      <c r="D375" s="49" t="inlineStr">
        <is>
          <t>Calm</t>
        </is>
      </c>
      <c r="E375" s="49" t="inlineStr">
        <is>
          <t>Champion Unit</t>
        </is>
      </c>
      <c r="F375" s="49" t="inlineStr">
        <is>
          <t>6</t>
        </is>
      </c>
      <c r="G375" s="49" t="inlineStr">
        <is>
          <t>6</t>
        </is>
      </c>
      <c r="H375" s="49" t="inlineStr">
        <is>
          <t>Rare</t>
        </is>
      </c>
      <c r="I375" s="49" t="inlineStr">
        <is>
          <t>Bird;Shurima;Azir</t>
        </is>
      </c>
      <c r="J375" s="5" t="inlineStr">
        <is>
          <t>Calm: [ACTION] — Choose a unit you control. Move me to its location and it to my original location. If it's equipped, you may attach one of its Equipment to me. Use only once per turn.</t>
        </is>
      </c>
    </row>
    <row r="376" ht="15" customHeight="1">
      <c r="A376" s="49" t="inlineStr">
        <is>
          <t>SFD-051</t>
        </is>
      </c>
      <c r="B376" s="49" t="n">
        <v>1</v>
      </c>
      <c r="C376" s="49" t="inlineStr">
        <is>
          <t>Guardian Angel</t>
        </is>
      </c>
      <c r="D376" s="49" t="inlineStr">
        <is>
          <t>Calm</t>
        </is>
      </c>
      <c r="E376" s="49" t="inlineStr">
        <is>
          <t>Gear</t>
        </is>
      </c>
      <c r="F376" s="49" t="inlineStr">
        <is>
          <t>2</t>
        </is>
      </c>
      <c r="G376" s="49" t="inlineStr">
        <is>
          <t>0</t>
        </is>
      </c>
      <c r="H376" s="49" t="inlineStr">
        <is>
          <t>Rare</t>
        </is>
      </c>
      <c r="I376" s="49" t="inlineStr">
        <is>
          <t>Equipment</t>
        </is>
      </c>
      <c r="J376" s="5" t="inlineStr">
        <is>
          <t>[EQUIP Calm] (Calm: Attach this to a unit you control.) If I would die, kill Guardian Angel instead. Heal me, Exhaust me, and recall me. Might +1</t>
        </is>
      </c>
    </row>
    <row r="377" ht="15" customHeight="1">
      <c r="A377" s="49" t="inlineStr">
        <is>
          <t>SFD-052</t>
        </is>
      </c>
      <c r="B377" s="49" t="n">
        <v>1</v>
      </c>
      <c r="C377" s="49" t="inlineStr">
        <is>
          <t>Heart of Dark Ice</t>
        </is>
      </c>
      <c r="D377" s="49" t="inlineStr">
        <is>
          <t>Calm</t>
        </is>
      </c>
      <c r="E377" s="49" t="inlineStr">
        <is>
          <t>Gear</t>
        </is>
      </c>
      <c r="F377" s="49" t="inlineStr">
        <is>
          <t>3</t>
        </is>
      </c>
      <c r="G377" s="49" t="inlineStr"/>
      <c r="H377" s="49" t="inlineStr">
        <is>
          <t>Rare</t>
        </is>
      </c>
      <c r="I377" s="49" t="inlineStr"/>
      <c r="J377" s="5" t="inlineStr">
        <is>
          <t>Exhaust: Give a unit +3 Might this turn.</t>
        </is>
      </c>
    </row>
    <row r="378" ht="15" customHeight="1">
      <c r="A378" s="18" t="inlineStr">
        <is>
          <t>SFD-053</t>
        </is>
      </c>
      <c r="B378" s="18" t="inlineStr"/>
      <c r="C378" s="18" t="inlineStr">
        <is>
          <t>Janna - Savior</t>
        </is>
      </c>
      <c r="D378" s="18" t="inlineStr">
        <is>
          <t>Calm</t>
        </is>
      </c>
      <c r="E378" s="18" t="inlineStr">
        <is>
          <t>Champion Unit</t>
        </is>
      </c>
      <c r="F378" s="18" t="inlineStr">
        <is>
          <t>3</t>
        </is>
      </c>
      <c r="G378" s="18" t="inlineStr">
        <is>
          <t>3</t>
        </is>
      </c>
      <c r="H378" s="18" t="inlineStr">
        <is>
          <t>Rare</t>
        </is>
      </c>
      <c r="I378" s="18" t="inlineStr">
        <is>
          <t>Zaun;Janna</t>
        </is>
      </c>
      <c r="J378" s="19" t="inlineStr">
        <is>
          <t>[REACTION] (Play any time, even before spells and abilities resolve, including to a battlefield you control.)
When you play me, heal your units here, then move an enemy unit from here to its base.</t>
        </is>
      </c>
    </row>
    <row r="379" ht="15" customHeight="1">
      <c r="A379" s="49" t="inlineStr">
        <is>
          <t>SFD-054</t>
        </is>
      </c>
      <c r="B379" s="49" t="n">
        <v>1</v>
      </c>
      <c r="C379" s="49" t="inlineStr">
        <is>
          <t>Jax - Unmatched</t>
        </is>
      </c>
      <c r="D379" s="49" t="inlineStr">
        <is>
          <t>Calm</t>
        </is>
      </c>
      <c r="E379" s="49" t="inlineStr">
        <is>
          <t>Champion Unit</t>
        </is>
      </c>
      <c r="F379" s="49" t="inlineStr">
        <is>
          <t>5</t>
        </is>
      </c>
      <c r="G379" s="49" t="inlineStr">
        <is>
          <t>5</t>
        </is>
      </c>
      <c r="H379" s="49" t="inlineStr">
        <is>
          <t>Rare</t>
        </is>
      </c>
      <c r="I379" s="49" t="inlineStr">
        <is>
          <t>Jax;Icathia</t>
        </is>
      </c>
      <c r="J379" s="5" t="inlineStr">
        <is>
          <t>[DEFLECT] (Opponents must pay 1 Rune to choose me with a spell or ability.) Each Equipment in your hand has [QUICK-DRAW]. (It gains [REACTION]. When you play it, attach it to a unit you control.)</t>
        </is>
      </c>
    </row>
    <row r="380" ht="15" customHeight="1">
      <c r="A380" s="18" t="inlineStr">
        <is>
          <t>SFD-055</t>
        </is>
      </c>
      <c r="B380" s="18" t="inlineStr"/>
      <c r="C380" s="18" t="inlineStr">
        <is>
          <t>Needlessly Large Yordle</t>
        </is>
      </c>
      <c r="D380" s="18" t="inlineStr">
        <is>
          <t>Calm</t>
        </is>
      </c>
      <c r="E380" s="18" t="inlineStr">
        <is>
          <t>Unit</t>
        </is>
      </c>
      <c r="F380" s="18" t="inlineStr">
        <is>
          <t>10</t>
        </is>
      </c>
      <c r="G380" s="18" t="inlineStr">
        <is>
          <t>5</t>
        </is>
      </c>
      <c r="H380" s="18" t="inlineStr">
        <is>
          <t>Rare</t>
        </is>
      </c>
      <c r="I380" s="18" t="inlineStr">
        <is>
          <t>Bandle City;Yordle</t>
        </is>
      </c>
      <c r="J380" s="19" t="inlineStr">
        <is>
          <t>[SHIELD 5] (+5 Might while I'm a defender.) [TANK] (I must be assigned combat damage first.) I cost 2 and 1 Calm less for each point you scored from holding this turn.</t>
        </is>
      </c>
    </row>
    <row r="381" ht="15" customHeight="1">
      <c r="A381" s="18" t="inlineStr">
        <is>
          <t>SFD-056</t>
        </is>
      </c>
      <c r="B381" s="18" t="inlineStr"/>
      <c r="C381" s="18" t="inlineStr">
        <is>
          <t>Sterak's Gage</t>
        </is>
      </c>
      <c r="D381" s="18" t="inlineStr">
        <is>
          <t>Calm</t>
        </is>
      </c>
      <c r="E381" s="18" t="inlineStr">
        <is>
          <t>Gear</t>
        </is>
      </c>
      <c r="F381" s="18" t="inlineStr">
        <is>
          <t>3</t>
        </is>
      </c>
      <c r="G381" s="18" t="inlineStr">
        <is>
          <t>0</t>
        </is>
      </c>
      <c r="H381" s="18" t="inlineStr">
        <is>
          <t>Rare</t>
        </is>
      </c>
      <c r="I381" s="18" t="inlineStr">
        <is>
          <t>Equipment</t>
        </is>
      </c>
      <c r="J381" s="19" t="inlineStr">
        <is>
          <t>[QUICK-DRAW] (This has REACTION. When you play it, attach it to a unit you control.)
[EQUIP Calm] (Calm: Attach this to a unit you control.)
Might +3</t>
        </is>
      </c>
    </row>
    <row r="382" ht="15" customHeight="1">
      <c r="A382" s="18" t="inlineStr">
        <is>
          <t>SFD-057</t>
        </is>
      </c>
      <c r="B382" s="18" t="inlineStr"/>
      <c r="C382" s="18" t="inlineStr">
        <is>
          <t>Irelia - Fervent</t>
        </is>
      </c>
      <c r="D382" s="18" t="inlineStr">
        <is>
          <t>Calm</t>
        </is>
      </c>
      <c r="E382" s="18" t="inlineStr">
        <is>
          <t>Champion Unit</t>
        </is>
      </c>
      <c r="F382" s="18" t="inlineStr">
        <is>
          <t>5</t>
        </is>
      </c>
      <c r="G382" s="18" t="inlineStr">
        <is>
          <t>4</t>
        </is>
      </c>
      <c r="H382" s="18" t="inlineStr">
        <is>
          <t>Epic</t>
        </is>
      </c>
      <c r="I382" s="18" t="inlineStr">
        <is>
          <t>Ionia;Irelia</t>
        </is>
      </c>
      <c r="J382" s="19" t="inlineStr">
        <is>
          <t>DEFLECT (Opponents must pay Rune to choose me with a spell or ability) When you choose or ready me, give me +1 Might this turn.</t>
        </is>
      </c>
    </row>
    <row r="383" ht="15" customHeight="1">
      <c r="A383" s="18" t="inlineStr">
        <is>
          <t>SFD-058</t>
        </is>
      </c>
      <c r="B383" s="18" t="inlineStr"/>
      <c r="C383" s="18" t="inlineStr">
        <is>
          <t>Ornn - Blacksmith</t>
        </is>
      </c>
      <c r="D383" s="18" t="inlineStr">
        <is>
          <t>Calm</t>
        </is>
      </c>
      <c r="E383" s="18" t="inlineStr">
        <is>
          <t>Champion Unit</t>
        </is>
      </c>
      <c r="F383" s="18" t="inlineStr">
        <is>
          <t>5</t>
        </is>
      </c>
      <c r="G383" s="18" t="inlineStr">
        <is>
          <t>5</t>
        </is>
      </c>
      <c r="H383" s="18" t="inlineStr">
        <is>
          <t>Epic</t>
        </is>
      </c>
      <c r="I383" s="18" t="inlineStr">
        <is>
          <t>Freljord;Ornn</t>
        </is>
      </c>
      <c r="J383" s="19" t="inlineStr">
        <is>
          <t>When you play me or when I hold, look at the top 4 cards of your Main Deck. You may reveal a gear from among them and draw it. Then recycle the rest.</t>
        </is>
      </c>
    </row>
    <row r="384" ht="15" customHeight="1">
      <c r="A384" s="18" t="inlineStr">
        <is>
          <t>SFD-059</t>
        </is>
      </c>
      <c r="B384" s="18" t="inlineStr"/>
      <c r="C384" s="18" t="inlineStr">
        <is>
          <t>Svellsongur</t>
        </is>
      </c>
      <c r="D384" s="18" t="inlineStr">
        <is>
          <t>Calm</t>
        </is>
      </c>
      <c r="E384" s="18" t="inlineStr">
        <is>
          <t>Gear</t>
        </is>
      </c>
      <c r="F384" s="18" t="inlineStr">
        <is>
          <t>3</t>
        </is>
      </c>
      <c r="G384" s="18" t="inlineStr">
        <is>
          <t>0</t>
        </is>
      </c>
      <c r="H384" s="18" t="inlineStr">
        <is>
          <t>Epic</t>
        </is>
      </c>
      <c r="I384" s="18" t="inlineStr">
        <is>
          <t>Equipment</t>
        </is>
      </c>
      <c r="J384" s="19" t="inlineStr">
        <is>
          <t>[EQUIP1, Calm] (1, Calm: Attach this to a unit you control.) As this is attached to a unit, copy that unit's text to this Equipment's effect text for as long as this is attached to it. Might +0</t>
        </is>
      </c>
    </row>
    <row r="385" ht="15" customHeight="1">
      <c r="A385" s="18" t="inlineStr">
        <is>
          <t>SFD-060</t>
        </is>
      </c>
      <c r="B385" s="18" t="inlineStr"/>
      <c r="C385" s="18" t="inlineStr">
        <is>
          <t>Tianna Crownguard</t>
        </is>
      </c>
      <c r="D385" s="18" t="inlineStr">
        <is>
          <t>Calm</t>
        </is>
      </c>
      <c r="E385" s="18" t="inlineStr">
        <is>
          <t>Unit</t>
        </is>
      </c>
      <c r="F385" s="18" t="inlineStr">
        <is>
          <t>7</t>
        </is>
      </c>
      <c r="G385" s="18" t="inlineStr">
        <is>
          <t>4</t>
        </is>
      </c>
      <c r="H385" s="18" t="inlineStr">
        <is>
          <t>Epic</t>
        </is>
      </c>
      <c r="I385" s="18" t="inlineStr">
        <is>
          <t>Demacia;Elite</t>
        </is>
      </c>
      <c r="J385" s="19" t="inlineStr">
        <is>
          <t>[DEFLECT] (Opponents must pay 1 Rune to choose me with a spell or ability.) While I'm at a battlefield, opponents can't score points.</t>
        </is>
      </c>
    </row>
    <row r="386" ht="15" customHeight="1">
      <c r="A386" s="54" t="inlineStr">
        <is>
          <t>SFD-061</t>
        </is>
      </c>
      <c r="B386" s="54" t="n">
        <v>3</v>
      </c>
      <c r="C386" s="54" t="inlineStr">
        <is>
          <t>Aspiring Engineer</t>
        </is>
      </c>
      <c r="D386" s="54" t="inlineStr">
        <is>
          <t>Mind</t>
        </is>
      </c>
      <c r="E386" s="54" t="inlineStr">
        <is>
          <t>Unit</t>
        </is>
      </c>
      <c r="F386" s="54" t="inlineStr">
        <is>
          <t>3</t>
        </is>
      </c>
      <c r="G386" s="54" t="inlineStr">
        <is>
          <t>3</t>
        </is>
      </c>
      <c r="H386" s="54" t="inlineStr">
        <is>
          <t>Common</t>
        </is>
      </c>
      <c r="I386" s="54" t="inlineStr">
        <is>
          <t>Piltover</t>
        </is>
      </c>
      <c r="J386" s="7" t="inlineStr">
        <is>
          <t>When you play me, return a gear from your trash to your hand.</t>
        </is>
      </c>
    </row>
    <row r="387" ht="15" customHeight="1">
      <c r="A387" s="54" t="inlineStr">
        <is>
          <t>SFD-062</t>
        </is>
      </c>
      <c r="B387" s="54" t="n">
        <v>3</v>
      </c>
      <c r="C387" s="54" t="inlineStr">
        <is>
          <t>Bubble Bot</t>
        </is>
      </c>
      <c r="D387" s="54" t="inlineStr">
        <is>
          <t>Mind</t>
        </is>
      </c>
      <c r="E387" s="54" t="inlineStr">
        <is>
          <t>Unit</t>
        </is>
      </c>
      <c r="F387" s="54" t="inlineStr">
        <is>
          <t>3</t>
        </is>
      </c>
      <c r="G387" s="54" t="inlineStr">
        <is>
          <t>3</t>
        </is>
      </c>
      <c r="H387" s="54" t="inlineStr">
        <is>
          <t>Common</t>
        </is>
      </c>
      <c r="I387" s="54" t="inlineStr">
        <is>
          <t>Bandle City;Mech;Yordle</t>
        </is>
      </c>
      <c r="J387" s="7" t="inlineStr">
        <is>
          <t>When you play me, ready another friendly Mech.</t>
        </is>
      </c>
    </row>
    <row r="388" ht="15" customHeight="1">
      <c r="A388" s="49" t="inlineStr">
        <is>
          <t>SFD-063</t>
        </is>
      </c>
      <c r="B388" s="49" t="n">
        <v>3</v>
      </c>
      <c r="C388" s="49" t="inlineStr">
        <is>
          <t>Chemtech Cask</t>
        </is>
      </c>
      <c r="D388" s="49" t="inlineStr">
        <is>
          <t>Calm</t>
        </is>
      </c>
      <c r="E388" s="49" t="inlineStr">
        <is>
          <t>Gear</t>
        </is>
      </c>
      <c r="F388" s="49" t="inlineStr">
        <is>
          <t>1</t>
        </is>
      </c>
      <c r="G388" s="49" t="inlineStr"/>
      <c r="H388" s="49" t="inlineStr">
        <is>
          <t>Common</t>
        </is>
      </c>
      <c r="I388" s="49" t="inlineStr"/>
      <c r="J388" s="5" t="inlineStr">
        <is>
          <t>When you play a spell on an opponent's turn, you may exhaust me to play a Gold gear token exhausted.</t>
        </is>
      </c>
    </row>
    <row r="389" ht="15" customHeight="1">
      <c r="A389" s="54" t="inlineStr">
        <is>
          <t>SFD-064</t>
        </is>
      </c>
      <c r="B389" s="54" t="n">
        <v>2</v>
      </c>
      <c r="C389" s="54" t="inlineStr">
        <is>
          <t>Cloth Armor</t>
        </is>
      </c>
      <c r="D389" s="54" t="inlineStr">
        <is>
          <t>Mind</t>
        </is>
      </c>
      <c r="E389" s="54" t="inlineStr">
        <is>
          <t>Gear</t>
        </is>
      </c>
      <c r="F389" s="54" t="inlineStr">
        <is>
          <t>1</t>
        </is>
      </c>
      <c r="G389" s="54" t="inlineStr"/>
      <c r="H389" s="54" t="inlineStr">
        <is>
          <t>Common</t>
        </is>
      </c>
      <c r="I389" s="54" t="inlineStr">
        <is>
          <t>Equipment</t>
        </is>
      </c>
      <c r="J389" s="7" t="inlineStr">
        <is>
          <t>[QUICK-DRAW] (This has [REACTION]. When you play it, attach it to a unit you control.)
[EQUIP Mind] (Mind: Attach this to a unit you control.)
[SHIELD 2] (+2 Might while I'm a defender.)
Might +2</t>
        </is>
      </c>
    </row>
    <row r="390" ht="15" customHeight="1">
      <c r="A390" s="54" t="inlineStr">
        <is>
          <t>SFD-065</t>
        </is>
      </c>
      <c r="B390" s="54" t="n">
        <v>3</v>
      </c>
      <c r="C390" s="54" t="inlineStr">
        <is>
          <t>Forecaster</t>
        </is>
      </c>
      <c r="D390" s="54" t="inlineStr">
        <is>
          <t>Mind</t>
        </is>
      </c>
      <c r="E390" s="54" t="inlineStr">
        <is>
          <t>Unit</t>
        </is>
      </c>
      <c r="F390" s="54" t="inlineStr">
        <is>
          <t>2</t>
        </is>
      </c>
      <c r="G390" s="54" t="inlineStr">
        <is>
          <t>2</t>
        </is>
      </c>
      <c r="H390" s="54" t="inlineStr">
        <is>
          <t>Common</t>
        </is>
      </c>
      <c r="I390" s="54" t="inlineStr">
        <is>
          <t>Bandle City;Mech;Yordle</t>
        </is>
      </c>
      <c r="J390" s="7" t="inlineStr">
        <is>
          <t>Your Mechs have [VISION]. (When you play us, look at the top card of your Main Deck. You may recycle it.)</t>
        </is>
      </c>
    </row>
    <row r="391" ht="15" customHeight="1">
      <c r="A391" s="54" t="inlineStr">
        <is>
          <t>SFD-066</t>
        </is>
      </c>
      <c r="B391" s="54" t="n">
        <v>3</v>
      </c>
      <c r="C391" s="54" t="inlineStr">
        <is>
          <t>Frigid Touch</t>
        </is>
      </c>
      <c r="D391" s="54" t="inlineStr">
        <is>
          <t>Mind</t>
        </is>
      </c>
      <c r="E391" s="54" t="inlineStr">
        <is>
          <t>Spell</t>
        </is>
      </c>
      <c r="F391" s="54" t="inlineStr">
        <is>
          <t>2</t>
        </is>
      </c>
      <c r="G391" s="54" t="inlineStr"/>
      <c r="H391" s="54" t="inlineStr">
        <is>
          <t>Common</t>
        </is>
      </c>
      <c r="I391" s="54" t="inlineStr"/>
      <c r="J391" s="7" t="inlineStr">
        <is>
          <t>[REACTION] (Play any time, even before spells and abilities resolve.)
[REPEAT 2] (You may pay the additional cost to repeat this spell's effect.)
Give a unit -2 Might this turn.</t>
        </is>
      </c>
    </row>
    <row r="392" ht="15" customHeight="1">
      <c r="A392" s="54" t="inlineStr">
        <is>
          <t>SFD-067</t>
        </is>
      </c>
      <c r="B392" s="54" t="n">
        <v>3</v>
      </c>
      <c r="C392" s="54" t="inlineStr">
        <is>
          <t>Frostcoat Cub</t>
        </is>
      </c>
      <c r="D392" s="54" t="inlineStr">
        <is>
          <t>Mind</t>
        </is>
      </c>
      <c r="E392" s="54" t="inlineStr">
        <is>
          <t>Unit</t>
        </is>
      </c>
      <c r="F392" s="54" t="inlineStr">
        <is>
          <t>3</t>
        </is>
      </c>
      <c r="G392" s="54" t="inlineStr">
        <is>
          <t>3</t>
        </is>
      </c>
      <c r="H392" s="54" t="inlineStr">
        <is>
          <t>Common</t>
        </is>
      </c>
      <c r="I392" s="54" t="inlineStr">
        <is>
          <t>Dog;Freljord</t>
        </is>
      </c>
      <c r="J392" s="7" t="inlineStr">
        <is>
          <t>You may pay Mind as an additional cost to play me. When you play me, if you paid the additional cost, give a unit -2 Might this turn.</t>
        </is>
      </c>
    </row>
    <row r="393" ht="15" customHeight="1">
      <c r="A393" s="54" t="inlineStr">
        <is>
          <t>SFD-068</t>
        </is>
      </c>
      <c r="B393" s="54" t="n">
        <v>3</v>
      </c>
      <c r="C393" s="54" t="inlineStr">
        <is>
          <t>Gearhead</t>
        </is>
      </c>
      <c r="D393" s="54" t="inlineStr">
        <is>
          <t>Mind</t>
        </is>
      </c>
      <c r="E393" s="54" t="inlineStr">
        <is>
          <t>Unit</t>
        </is>
      </c>
      <c r="F393" s="54" t="inlineStr">
        <is>
          <t>5</t>
        </is>
      </c>
      <c r="G393" s="54" t="inlineStr">
        <is>
          <t>3</t>
        </is>
      </c>
      <c r="H393" s="54" t="inlineStr">
        <is>
          <t>Common</t>
        </is>
      </c>
      <c r="I393" s="54" t="inlineStr">
        <is>
          <t>Zaun</t>
        </is>
      </c>
      <c r="J393" s="7" t="inlineStr">
        <is>
          <t>[ACCELERATE] (You may pay 1 and Mind as an additional cost to have me enter ready.)
Each Equipment attached to me gives double its base Might bonus.</t>
        </is>
      </c>
    </row>
    <row r="394" ht="15" customHeight="1">
      <c r="A394" s="54" t="inlineStr">
        <is>
          <t>SFD-069</t>
        </is>
      </c>
      <c r="B394" s="54" t="n">
        <v>3</v>
      </c>
      <c r="C394" s="54" t="inlineStr">
        <is>
          <t>Plundering Poro</t>
        </is>
      </c>
      <c r="D394" s="54" t="inlineStr">
        <is>
          <t>Mind</t>
        </is>
      </c>
      <c r="E394" s="54" t="inlineStr">
        <is>
          <t>Unit</t>
        </is>
      </c>
      <c r="F394" s="54" t="inlineStr">
        <is>
          <t>2</t>
        </is>
      </c>
      <c r="G394" s="54" t="inlineStr">
        <is>
          <t>2</t>
        </is>
      </c>
      <c r="H394" s="54" t="inlineStr">
        <is>
          <t>Common</t>
        </is>
      </c>
      <c r="I394" s="54" t="inlineStr">
        <is>
          <t>Bilgewater;Pirate;Poro</t>
        </is>
      </c>
      <c r="J394" s="7" t="inlineStr">
        <is>
          <t>When I conquer, play a Gold gear token exhausted.</t>
        </is>
      </c>
    </row>
    <row r="395" ht="15" customHeight="1">
      <c r="A395" s="54" t="inlineStr">
        <is>
          <t>SFD-070</t>
        </is>
      </c>
      <c r="B395" s="54" t="n">
        <v>3</v>
      </c>
      <c r="C395" s="54" t="inlineStr">
        <is>
          <t>Wages of Pain</t>
        </is>
      </c>
      <c r="D395" s="54" t="inlineStr">
        <is>
          <t>Mind</t>
        </is>
      </c>
      <c r="E395" s="54" t="inlineStr">
        <is>
          <t>Spell</t>
        </is>
      </c>
      <c r="F395" s="54" t="inlineStr">
        <is>
          <t>3</t>
        </is>
      </c>
      <c r="G395" s="54" t="inlineStr"/>
      <c r="H395" s="54" t="inlineStr">
        <is>
          <t>Common</t>
        </is>
      </c>
      <c r="I395" s="54" t="inlineStr"/>
      <c r="J395" s="7" t="inlineStr">
        <is>
          <t>[HIDDEN] (Hide now for 1 Rune to react with later for 0.)
[ACTION] (Play on your turn or in showdowns.)
Deal 3 to a unit at a battlefield. Play a Gold gear token exhausted.</t>
        </is>
      </c>
    </row>
    <row r="396" ht="15" customHeight="1">
      <c r="A396" s="49" t="inlineStr">
        <is>
          <t>SFD-071</t>
        </is>
      </c>
      <c r="B396" s="49" t="n">
        <v>3</v>
      </c>
      <c r="C396" s="49" t="inlineStr">
        <is>
          <t>Breakneck Mech</t>
        </is>
      </c>
      <c r="D396" s="49" t="inlineStr">
        <is>
          <t>Calm</t>
        </is>
      </c>
      <c r="E396" s="49" t="inlineStr">
        <is>
          <t>Unit</t>
        </is>
      </c>
      <c r="F396" s="49" t="inlineStr">
        <is>
          <t>8</t>
        </is>
      </c>
      <c r="G396" s="49" t="inlineStr">
        <is>
          <t>7</t>
        </is>
      </c>
      <c r="H396" s="49" t="inlineStr">
        <is>
          <t>Uncommon</t>
        </is>
      </c>
      <c r="I396" s="49" t="inlineStr">
        <is>
          <t>Bandle City;Mech;Yordle</t>
        </is>
      </c>
      <c r="J396" s="5" t="inlineStr">
        <is>
          <t>Your Mechs have [DEFLECT] and [GANKING]. (Opponents must pay 1 Rune to choose us with a spell or ability. We can move from battlefield to battlefield.)
I enter ready if you control another Mech.</t>
        </is>
      </c>
    </row>
    <row r="397" ht="15" customHeight="1">
      <c r="A397" s="54" t="inlineStr">
        <is>
          <t>SFD-072</t>
        </is>
      </c>
      <c r="B397" s="54" t="n">
        <v>3</v>
      </c>
      <c r="C397" s="54" t="inlineStr">
        <is>
          <t>Dropboarder</t>
        </is>
      </c>
      <c r="D397" s="54" t="inlineStr">
        <is>
          <t>Mind</t>
        </is>
      </c>
      <c r="E397" s="54" t="inlineStr">
        <is>
          <t>Unit</t>
        </is>
      </c>
      <c r="F397" s="54" t="inlineStr">
        <is>
          <t>4</t>
        </is>
      </c>
      <c r="G397" s="54" t="inlineStr">
        <is>
          <t>4</t>
        </is>
      </c>
      <c r="H397" s="54" t="inlineStr">
        <is>
          <t>Uncommon</t>
        </is>
      </c>
      <c r="I397" s="54" t="inlineStr">
        <is>
          <t>Zaun</t>
        </is>
      </c>
      <c r="J397" s="7" t="inlineStr">
        <is>
          <t>When you play me, if you control two or more gear, ready me.</t>
        </is>
      </c>
    </row>
    <row r="398" ht="15" customHeight="1">
      <c r="A398" s="20" t="inlineStr">
        <is>
          <t>SFD-073</t>
        </is>
      </c>
      <c r="B398" s="20" t="inlineStr"/>
      <c r="C398" s="20" t="inlineStr">
        <is>
          <t>Experimental Hexplate</t>
        </is>
      </c>
      <c r="D398" s="20" t="inlineStr">
        <is>
          <t>Mind</t>
        </is>
      </c>
      <c r="E398" s="20" t="inlineStr">
        <is>
          <t>Gear</t>
        </is>
      </c>
      <c r="F398" s="20" t="inlineStr">
        <is>
          <t>1</t>
        </is>
      </c>
      <c r="G398" s="20" t="inlineStr"/>
      <c r="H398" s="20" t="inlineStr">
        <is>
          <t>Uncommon</t>
        </is>
      </c>
      <c r="I398" s="20" t="inlineStr">
        <is>
          <t>Equipment</t>
        </is>
      </c>
      <c r="J398" s="21" t="inlineStr">
        <is>
          <t>[EQUIP Calm]  (Calm: Attach this to a unit you control.)
I am a mech.
+1 Might</t>
        </is>
      </c>
    </row>
    <row r="399" ht="15" customHeight="1">
      <c r="A399" s="54" t="inlineStr">
        <is>
          <t>SFD-074</t>
        </is>
      </c>
      <c r="B399" s="54" t="n">
        <v>1</v>
      </c>
      <c r="C399" s="54" t="inlineStr">
        <is>
          <t>Pickpocket</t>
        </is>
      </c>
      <c r="D399" s="54" t="inlineStr">
        <is>
          <t>Mind</t>
        </is>
      </c>
      <c r="E399" s="54" t="inlineStr">
        <is>
          <t>Unit</t>
        </is>
      </c>
      <c r="F399" s="54" t="inlineStr">
        <is>
          <t>3</t>
        </is>
      </c>
      <c r="G399" s="54" t="inlineStr">
        <is>
          <t>3</t>
        </is>
      </c>
      <c r="H399" s="54" t="inlineStr">
        <is>
          <t>Uncommon</t>
        </is>
      </c>
      <c r="I399" s="54" t="inlineStr">
        <is>
          <t>Zaun</t>
        </is>
      </c>
      <c r="J399" s="7" t="inlineStr">
        <is>
          <t>When you play me, you may kill a gear with Energy cost no more than 1. If you do, play a Gold gear token exhausted.</t>
        </is>
      </c>
    </row>
    <row r="400" ht="15" customHeight="1">
      <c r="A400" s="20" t="inlineStr">
        <is>
          <t>SFD-075</t>
        </is>
      </c>
      <c r="B400" s="20" t="inlineStr"/>
      <c r="C400" s="20" t="inlineStr">
        <is>
          <t>Prize of Progress</t>
        </is>
      </c>
      <c r="D400" s="20" t="inlineStr">
        <is>
          <t>Mind</t>
        </is>
      </c>
      <c r="E400" s="20" t="inlineStr">
        <is>
          <t>Unit</t>
        </is>
      </c>
      <c r="F400" s="20" t="inlineStr">
        <is>
          <t>4</t>
        </is>
      </c>
      <c r="G400" s="20" t="inlineStr">
        <is>
          <t>3</t>
        </is>
      </c>
      <c r="H400" s="20" t="inlineStr">
        <is>
          <t>Uncommon</t>
        </is>
      </c>
      <c r="I400" s="20" t="inlineStr">
        <is>
          <t>Mech;Piltover</t>
        </is>
      </c>
      <c r="J400" s="21" t="inlineStr">
        <is>
          <t>When you use an activated ability of a gear, give me +1 Might this turn.</t>
        </is>
      </c>
    </row>
    <row r="401" ht="15" customHeight="1">
      <c r="A401" s="54" t="inlineStr">
        <is>
          <t>SFD-076</t>
        </is>
      </c>
      <c r="B401" s="54" t="n">
        <v>3</v>
      </c>
      <c r="C401" s="54" t="inlineStr">
        <is>
          <t>Production Surge</t>
        </is>
      </c>
      <c r="D401" s="54" t="inlineStr">
        <is>
          <t>Mind</t>
        </is>
      </c>
      <c r="E401" s="54" t="inlineStr">
        <is>
          <t>Spell</t>
        </is>
      </c>
      <c r="F401" s="54" t="inlineStr">
        <is>
          <t>4</t>
        </is>
      </c>
      <c r="G401" s="54" t="inlineStr">
        <is>
          <t>0</t>
        </is>
      </c>
      <c r="H401" s="54" t="inlineStr">
        <is>
          <t>Uncommon</t>
        </is>
      </c>
      <c r="I401" s="54" t="inlineStr"/>
      <c r="J401" s="7" t="inlineStr">
        <is>
          <t>This costs 2 less if you control a Mech.
Play a 3 Might Mech unit token to your base.
Draw 1.</t>
        </is>
      </c>
    </row>
    <row r="402" ht="15" customHeight="1">
      <c r="A402" s="54" t="inlineStr">
        <is>
          <t>SFD-077</t>
        </is>
      </c>
      <c r="B402" s="54" t="n">
        <v>2</v>
      </c>
      <c r="C402" s="54" t="inlineStr">
        <is>
          <t>Rocket Barrage</t>
        </is>
      </c>
      <c r="D402" s="54" t="inlineStr">
        <is>
          <t>Mind</t>
        </is>
      </c>
      <c r="E402" s="54" t="inlineStr">
        <is>
          <t>Spell</t>
        </is>
      </c>
      <c r="F402" s="54" t="inlineStr">
        <is>
          <t>4</t>
        </is>
      </c>
      <c r="G402" s="54" t="inlineStr">
        <is>
          <t>0</t>
        </is>
      </c>
      <c r="H402" s="54" t="inlineStr">
        <is>
          <t>Uncommon</t>
        </is>
      </c>
      <c r="I402" s="54" t="inlineStr"/>
      <c r="J402" s="7" t="inlineStr">
        <is>
          <t>[REPEAT 4 Mind] (You may pay the additional cost to repeat this spell's effect, and may make different choices.)
Choose one —
• Deal 4 to a unit in a base.
• Kill a gear.</t>
        </is>
      </c>
    </row>
    <row r="403" ht="15" customHeight="1">
      <c r="A403" s="20" t="inlineStr">
        <is>
          <t>SFD-078</t>
        </is>
      </c>
      <c r="B403" s="20" t="inlineStr"/>
      <c r="C403" s="20" t="inlineStr">
        <is>
          <t>Temporal Portal</t>
        </is>
      </c>
      <c r="D403" s="20" t="inlineStr">
        <is>
          <t>Mind</t>
        </is>
      </c>
      <c r="E403" s="20" t="inlineStr">
        <is>
          <t>Spell</t>
        </is>
      </c>
      <c r="F403" s="20" t="inlineStr">
        <is>
          <t>3</t>
        </is>
      </c>
      <c r="G403" s="20" t="inlineStr"/>
      <c r="H403" s="20" t="inlineStr">
        <is>
          <t>Uncommon</t>
        </is>
      </c>
      <c r="I403" s="20" t="inlineStr"/>
      <c r="J403" s="21" t="inlineStr">
        <is>
          <t>1 Rune, Exhaust: Give the next spell you play this turn [REPEAT] equal to its cost. (You may pay the additional cost to repeat the spell's effect.)</t>
        </is>
      </c>
    </row>
    <row r="404" ht="15" customHeight="1">
      <c r="A404" s="20" t="inlineStr">
        <is>
          <t>SFD-079</t>
        </is>
      </c>
      <c r="B404" s="20" t="inlineStr"/>
      <c r="C404" s="20" t="inlineStr">
        <is>
          <t>Bard - Mercurial</t>
        </is>
      </c>
      <c r="D404" s="20" t="inlineStr">
        <is>
          <t>Mind</t>
        </is>
      </c>
      <c r="E404" s="20" t="inlineStr">
        <is>
          <t>Champion Unit</t>
        </is>
      </c>
      <c r="F404" s="20" t="inlineStr">
        <is>
          <t>4</t>
        </is>
      </c>
      <c r="G404" s="20" t="inlineStr">
        <is>
          <t>4</t>
        </is>
      </c>
      <c r="H404" s="20" t="inlineStr">
        <is>
          <t>Rare</t>
        </is>
      </c>
      <c r="I404" s="20" t="inlineStr">
        <is>
          <t>Bard</t>
        </is>
      </c>
      <c r="J404" s="21" t="inlineStr">
        <is>
          <t>You may exhaust your legend as an additional cost to play me.
When you play me, if you paid the additional cost, move any number of your units to an open battlefield.</t>
        </is>
      </c>
    </row>
    <row r="405" ht="15" customHeight="1">
      <c r="A405" s="20" t="inlineStr">
        <is>
          <t>SFD-080</t>
        </is>
      </c>
      <c r="B405" s="20" t="inlineStr"/>
      <c r="C405" s="20" t="inlineStr">
        <is>
          <t>Bellows Breath</t>
        </is>
      </c>
      <c r="D405" s="20" t="inlineStr">
        <is>
          <t>Mind</t>
        </is>
      </c>
      <c r="E405" s="20" t="inlineStr">
        <is>
          <t>Spell</t>
        </is>
      </c>
      <c r="F405" s="20" t="inlineStr">
        <is>
          <t>1</t>
        </is>
      </c>
      <c r="G405" s="20" t="inlineStr"/>
      <c r="H405" s="20" t="inlineStr">
        <is>
          <t>Rare</t>
        </is>
      </c>
      <c r="I405" s="20" t="inlineStr"/>
      <c r="J405" s="21" t="inlineStr">
        <is>
          <t>[ACTION] (Play on your turn or in showdowns.) [REPEAT 1, Mind] (You may pay the additional cost to repeat this spell's effect.) Deal 1 to up to three units at the same location.</t>
        </is>
      </c>
    </row>
    <row r="406" ht="15" customHeight="1">
      <c r="A406" s="54" t="inlineStr">
        <is>
          <t>SFD-081</t>
        </is>
      </c>
      <c r="B406" s="54" t="n">
        <v>1</v>
      </c>
      <c r="C406" s="54" t="inlineStr">
        <is>
          <t>Card Sharp</t>
        </is>
      </c>
      <c r="D406" s="54" t="inlineStr">
        <is>
          <t>Mind</t>
        </is>
      </c>
      <c r="E406" s="54" t="inlineStr">
        <is>
          <t>Unit</t>
        </is>
      </c>
      <c r="F406" s="54" t="inlineStr">
        <is>
          <t>3</t>
        </is>
      </c>
      <c r="G406" s="54" t="inlineStr">
        <is>
          <t>3</t>
        </is>
      </c>
      <c r="H406" s="54" t="inlineStr">
        <is>
          <t>Rare</t>
        </is>
      </c>
      <c r="I406" s="54" t="inlineStr">
        <is>
          <t>Bilgewater</t>
        </is>
      </c>
      <c r="J406" s="7" t="inlineStr">
        <is>
          <t>When you play me, you and each opponent may play a Gold gear token exhausted. For each opponent who did, you play a Gold gear token exhausted.</t>
        </is>
      </c>
    </row>
    <row r="407" ht="15" customHeight="1">
      <c r="A407" s="54" t="inlineStr">
        <is>
          <t>SFD-082</t>
        </is>
      </c>
      <c r="B407" s="54" t="n">
        <v>1</v>
      </c>
      <c r="C407" s="54" t="inlineStr">
        <is>
          <t>Ezreal - Dashing</t>
        </is>
      </c>
      <c r="D407" s="54" t="inlineStr">
        <is>
          <t>Mind</t>
        </is>
      </c>
      <c r="E407" s="54" t="inlineStr">
        <is>
          <t>Champion Unit</t>
        </is>
      </c>
      <c r="F407" s="54" t="inlineStr">
        <is>
          <t>4</t>
        </is>
      </c>
      <c r="G407" s="54" t="inlineStr">
        <is>
          <t>3</t>
        </is>
      </c>
      <c r="H407" s="54" t="inlineStr">
        <is>
          <t>Rare</t>
        </is>
      </c>
      <c r="I407" s="54" t="inlineStr">
        <is>
          <t>Piltover;Ezreal</t>
        </is>
      </c>
      <c r="J407" s="7" t="inlineStr">
        <is>
          <t>When I attack or defend, deal damage equal to my Might to an enemy unit here.
I don't deal combat damage.
Mind: [ACTION] — Move me to your base.</t>
        </is>
      </c>
    </row>
    <row r="408" ht="15" customHeight="1">
      <c r="A408" s="20" t="inlineStr">
        <is>
          <t>SFD-083</t>
        </is>
      </c>
      <c r="B408" s="20" t="inlineStr"/>
      <c r="C408" s="20" t="inlineStr">
        <is>
          <t>Hextech Anomaly</t>
        </is>
      </c>
      <c r="D408" s="20" t="inlineStr">
        <is>
          <t>Mind</t>
        </is>
      </c>
      <c r="E408" s="20" t="inlineStr">
        <is>
          <t>Gear</t>
        </is>
      </c>
      <c r="F408" s="20" t="inlineStr">
        <is>
          <t>3</t>
        </is>
      </c>
      <c r="G408" s="20" t="inlineStr"/>
      <c r="H408" s="20" t="inlineStr">
        <is>
          <t>Rare</t>
        </is>
      </c>
      <c r="I408" s="20" t="inlineStr"/>
      <c r="J408" s="21" t="inlineStr">
        <is>
          <t>Exhaust: [REACTION] — Pay any amount of Runes to [ADD] that much Energy. (Abilities that add resources can't be reacted to.)</t>
        </is>
      </c>
    </row>
    <row r="409" ht="15" customHeight="1">
      <c r="A409" s="20" t="inlineStr">
        <is>
          <t>SFD-084</t>
        </is>
      </c>
      <c r="B409" s="20" t="inlineStr"/>
      <c r="C409" s="20" t="inlineStr">
        <is>
          <t>Jayce - Man of Progress</t>
        </is>
      </c>
      <c r="D409" s="20" t="inlineStr">
        <is>
          <t>Mind</t>
        </is>
      </c>
      <c r="E409" s="20" t="inlineStr">
        <is>
          <t>Champion Unit</t>
        </is>
      </c>
      <c r="F409" s="20" t="inlineStr">
        <is>
          <t>4</t>
        </is>
      </c>
      <c r="G409" s="20" t="inlineStr">
        <is>
          <t>4</t>
        </is>
      </c>
      <c r="H409" s="20" t="inlineStr">
        <is>
          <t>Rare</t>
        </is>
      </c>
      <c r="I409" s="20" t="inlineStr">
        <is>
          <t>Piltover;Jayce</t>
        </is>
      </c>
      <c r="J409" s="21" t="inlineStr">
        <is>
          <t>When you play me, you may kill a friendly gear. If you do, you may play a gear with Energy cost no more than 7 from hand this turn, ignoring its Energy cost. (You must still pay its Power cost.)</t>
        </is>
      </c>
    </row>
    <row r="410" ht="15" customHeight="1">
      <c r="A410" s="20" t="inlineStr">
        <is>
          <t>SFD-085</t>
        </is>
      </c>
      <c r="B410" s="20" t="inlineStr"/>
      <c r="C410" s="20" t="inlineStr">
        <is>
          <t>Ornn - Forge God</t>
        </is>
      </c>
      <c r="D410" s="20" t="inlineStr">
        <is>
          <t>Mind</t>
        </is>
      </c>
      <c r="E410" s="20" t="inlineStr">
        <is>
          <t>Champion Unit</t>
        </is>
      </c>
      <c r="F410" s="20" t="inlineStr">
        <is>
          <t>6</t>
        </is>
      </c>
      <c r="G410" s="20" t="inlineStr">
        <is>
          <t>4</t>
        </is>
      </c>
      <c r="H410" s="20" t="inlineStr">
        <is>
          <t>Rare</t>
        </is>
      </c>
      <c r="I410" s="20" t="inlineStr">
        <is>
          <t>Freljord;Ornn</t>
        </is>
      </c>
      <c r="J410" s="21" t="inlineStr">
        <is>
          <t>[DEFLECT 2] (Opponents must pay 2 Runes to choose me with a spell or ability.)
[WEAPONMASTER] (When you play me, you may [EQUIP] one of your Equipment to me for 1 Rune  less, even if it's already attached.)
I have +1 Might for each friendly gear.</t>
        </is>
      </c>
    </row>
    <row r="411" ht="15" customHeight="1">
      <c r="A411" s="54" t="inlineStr">
        <is>
          <t>SFD-086</t>
        </is>
      </c>
      <c r="B411" s="54" t="n">
        <v>3</v>
      </c>
      <c r="C411" s="54" t="inlineStr">
        <is>
          <t>World Atlas</t>
        </is>
      </c>
      <c r="D411" s="54" t="inlineStr">
        <is>
          <t>Mind</t>
        </is>
      </c>
      <c r="E411" s="54" t="inlineStr">
        <is>
          <t>Gear</t>
        </is>
      </c>
      <c r="F411" s="54" t="inlineStr">
        <is>
          <t>0</t>
        </is>
      </c>
      <c r="G411" s="54" t="inlineStr">
        <is>
          <t>0</t>
        </is>
      </c>
      <c r="H411" s="54" t="inlineStr">
        <is>
          <t>Rare</t>
        </is>
      </c>
      <c r="I411" s="54" t="inlineStr">
        <is>
          <t>Equipment</t>
        </is>
      </c>
      <c r="J411" s="7" t="inlineStr">
        <is>
          <t>[EQUIP Mind] (Mind: Attach this to a unit you control.)
When I hold, play two Gold gear tokens exhausted. +2 Might</t>
        </is>
      </c>
    </row>
    <row r="412" ht="15" customHeight="1">
      <c r="A412" s="20" t="inlineStr">
        <is>
          <t>SFD-087</t>
        </is>
      </c>
      <c r="B412" s="20" t="inlineStr"/>
      <c r="C412" s="20" t="inlineStr">
        <is>
          <t>Premonition</t>
        </is>
      </c>
      <c r="D412" s="20" t="inlineStr">
        <is>
          <t>Mind</t>
        </is>
      </c>
      <c r="E412" s="20" t="inlineStr">
        <is>
          <t>Spell</t>
        </is>
      </c>
      <c r="F412" s="20" t="inlineStr">
        <is>
          <t>2</t>
        </is>
      </c>
      <c r="G412" s="20" t="inlineStr"/>
      <c r="H412" s="20" t="inlineStr">
        <is>
          <t>Epic</t>
        </is>
      </c>
      <c r="I412" s="20" t="inlineStr"/>
      <c r="J412" s="21" t="inlineStr">
        <is>
          <t>[REACTION] (Play any time, even before spells and abilities resolve.) Draw 3.</t>
        </is>
      </c>
    </row>
    <row r="413" ht="15" customHeight="1">
      <c r="A413" s="20" t="inlineStr">
        <is>
          <t>SFD-088</t>
        </is>
      </c>
      <c r="B413" s="20" t="inlineStr"/>
      <c r="C413" s="20" t="inlineStr">
        <is>
          <t>Renata Glasc - Mastermind</t>
        </is>
      </c>
      <c r="D413" s="20" t="inlineStr">
        <is>
          <t>Mind</t>
        </is>
      </c>
      <c r="E413" s="20" t="inlineStr">
        <is>
          <t>Champion Unit</t>
        </is>
      </c>
      <c r="F413" s="20" t="inlineStr">
        <is>
          <t>5</t>
        </is>
      </c>
      <c r="G413" s="20" t="inlineStr">
        <is>
          <t>4</t>
        </is>
      </c>
      <c r="H413" s="20" t="inlineStr">
        <is>
          <t>Epic</t>
        </is>
      </c>
      <c r="I413" s="20" t="inlineStr">
        <is>
          <t>Zaun;Renata Glasc</t>
        </is>
      </c>
      <c r="J413" s="21" t="inlineStr">
        <is>
          <t>1, Mind: Draw 1. 1,4 Mind, Exhaust: Score 1 point. Use my abilities only while I'm at a battlefield.</t>
        </is>
      </c>
    </row>
    <row r="414" ht="15" customHeight="1">
      <c r="A414" s="54" t="inlineStr">
        <is>
          <t>SFD-089</t>
        </is>
      </c>
      <c r="B414" s="54" t="n">
        <v>1</v>
      </c>
      <c r="C414" s="54" t="inlineStr">
        <is>
          <t>Rumble - Scrapper</t>
        </is>
      </c>
      <c r="D414" s="54" t="inlineStr">
        <is>
          <t>Mind</t>
        </is>
      </c>
      <c r="E414" s="54" t="inlineStr">
        <is>
          <t>Champion Unit</t>
        </is>
      </c>
      <c r="F414" s="54" t="inlineStr">
        <is>
          <t>5</t>
        </is>
      </c>
      <c r="G414" s="54" t="inlineStr">
        <is>
          <t>4</t>
        </is>
      </c>
      <c r="H414" s="54" t="inlineStr">
        <is>
          <t>Epic</t>
        </is>
      </c>
      <c r="I414" s="54" t="inlineStr">
        <is>
          <t>Bandle City;Mech;Yordle;Rumble</t>
        </is>
      </c>
      <c r="J414" s="7" t="inlineStr">
        <is>
          <t>Your Mechs have +1 Might (including me). When I hold, play a 3 Might Mech unit token to your base.</t>
        </is>
      </c>
    </row>
    <row r="415" ht="15" customHeight="1">
      <c r="A415" s="54" t="inlineStr">
        <is>
          <t>SFD-090</t>
        </is>
      </c>
      <c r="B415" s="54" t="n">
        <v>1</v>
      </c>
      <c r="C415" s="54" t="inlineStr">
        <is>
          <t>The Zero Drive</t>
        </is>
      </c>
      <c r="D415" s="54" t="inlineStr">
        <is>
          <t>Mind</t>
        </is>
      </c>
      <c r="E415" s="54" t="inlineStr">
        <is>
          <t>Gear</t>
        </is>
      </c>
      <c r="F415" s="54" t="inlineStr">
        <is>
          <t>3</t>
        </is>
      </c>
      <c r="G415" s="54" t="inlineStr"/>
      <c r="H415" s="54" t="inlineStr">
        <is>
          <t>Epic</t>
        </is>
      </c>
      <c r="I415" s="54" t="inlineStr">
        <is>
          <t>Equipment</t>
        </is>
      </c>
      <c r="J415" s="7" t="inlineStr">
        <is>
          <t>[EQUIP 1, Calm] (1, Calm: Attach this to a unit you control.) 3, Calm, Banish this: Play all units banished with this, ignoring their costs. (Use only if unattached.) [DEATHKNELL] — Banish me. (When I die, get the effect.) Might +2</t>
        </is>
      </c>
    </row>
    <row r="416" ht="15" customHeight="1">
      <c r="A416" s="59" t="inlineStr">
        <is>
          <t>SFD-091</t>
        </is>
      </c>
      <c r="B416" s="59" t="n">
        <v>3</v>
      </c>
      <c r="C416" s="59" t="inlineStr">
        <is>
          <t>Buhru Captain</t>
        </is>
      </c>
      <c r="D416" s="59" t="inlineStr">
        <is>
          <t>Body</t>
        </is>
      </c>
      <c r="E416" s="59" t="inlineStr">
        <is>
          <t>Unit</t>
        </is>
      </c>
      <c r="F416" s="59" t="inlineStr">
        <is>
          <t>3</t>
        </is>
      </c>
      <c r="G416" s="59" t="inlineStr">
        <is>
          <t>3</t>
        </is>
      </c>
      <c r="H416" s="59" t="inlineStr">
        <is>
          <t>Common</t>
        </is>
      </c>
      <c r="I416" s="59" t="inlineStr">
        <is>
          <t>Bilgewater</t>
        </is>
      </c>
      <c r="J416" s="9" t="inlineStr">
        <is>
          <t>When you play me, you may draw 1 or buff me. (To buff a unit, give it a +1 Might buff if it doesn't already have one.)</t>
        </is>
      </c>
    </row>
    <row r="417" ht="15" customHeight="1">
      <c r="A417" s="59" t="inlineStr">
        <is>
          <t>SFD-092</t>
        </is>
      </c>
      <c r="B417" s="59" t="n">
        <v>3</v>
      </c>
      <c r="C417" s="59" t="inlineStr">
        <is>
          <t>Combat Chef</t>
        </is>
      </c>
      <c r="D417" s="59" t="inlineStr">
        <is>
          <t>Body</t>
        </is>
      </c>
      <c r="E417" s="59" t="inlineStr">
        <is>
          <t>Unit</t>
        </is>
      </c>
      <c r="F417" s="59" t="inlineStr">
        <is>
          <t>5</t>
        </is>
      </c>
      <c r="G417" s="59" t="inlineStr">
        <is>
          <t>5</t>
        </is>
      </c>
      <c r="H417" s="59" t="inlineStr">
        <is>
          <t>Common</t>
        </is>
      </c>
      <c r="I417" s="59" t="inlineStr">
        <is>
          <t>Demacia</t>
        </is>
      </c>
      <c r="J417" s="9" t="inlineStr">
        <is>
          <t>[WEAPONMASTER] (When you play me, you may [EQUIP] One of your Equipment to me for Rune less, even if it's already attached.)</t>
        </is>
      </c>
    </row>
    <row r="418" ht="15" customHeight="1">
      <c r="A418" s="59" t="inlineStr">
        <is>
          <t>SFD-093</t>
        </is>
      </c>
      <c r="B418" s="59" t="n">
        <v>3</v>
      </c>
      <c r="C418" s="59" t="inlineStr">
        <is>
          <t>Dauntless Vanguard</t>
        </is>
      </c>
      <c r="D418" s="59" t="inlineStr">
        <is>
          <t>Body</t>
        </is>
      </c>
      <c r="E418" s="59" t="inlineStr">
        <is>
          <t>Unit</t>
        </is>
      </c>
      <c r="F418" s="59" t="inlineStr">
        <is>
          <t>4</t>
        </is>
      </c>
      <c r="G418" s="59" t="inlineStr">
        <is>
          <t>4</t>
        </is>
      </c>
      <c r="H418" s="59" t="inlineStr">
        <is>
          <t>Common</t>
        </is>
      </c>
      <c r="I418" s="59" t="inlineStr">
        <is>
          <t>Demacia;Elite</t>
        </is>
      </c>
      <c r="J418" s="9" t="inlineStr">
        <is>
          <t>You may play me to an occupied enemy battlefield.</t>
        </is>
      </c>
    </row>
    <row r="419" ht="15" customHeight="1">
      <c r="A419" s="59" t="inlineStr">
        <is>
          <t>SFD-094</t>
        </is>
      </c>
      <c r="B419" s="59" t="n">
        <v>3</v>
      </c>
      <c r="C419" s="59" t="inlineStr">
        <is>
          <t>Direwing</t>
        </is>
      </c>
      <c r="D419" s="59" t="inlineStr">
        <is>
          <t>Body</t>
        </is>
      </c>
      <c r="E419" s="59" t="inlineStr">
        <is>
          <t>Unit</t>
        </is>
      </c>
      <c r="F419" s="59" t="inlineStr">
        <is>
          <t>7</t>
        </is>
      </c>
      <c r="G419" s="59" t="inlineStr">
        <is>
          <t>7</t>
        </is>
      </c>
      <c r="H419" s="59" t="inlineStr">
        <is>
          <t>Common</t>
        </is>
      </c>
      <c r="I419" s="59" t="inlineStr">
        <is>
          <t>Demacia;Dragon</t>
        </is>
      </c>
      <c r="J419" s="9" t="inlineStr">
        <is>
          <t>I enter ready if you control another Dragon.</t>
        </is>
      </c>
    </row>
    <row r="420" ht="15" customHeight="1">
      <c r="A420" s="59" t="inlineStr">
        <is>
          <t>SFD-095</t>
        </is>
      </c>
      <c r="B420" s="59" t="n">
        <v>3</v>
      </c>
      <c r="C420" s="59" t="inlineStr">
        <is>
          <t>Doran's Blade</t>
        </is>
      </c>
      <c r="D420" s="59" t="inlineStr">
        <is>
          <t>Body</t>
        </is>
      </c>
      <c r="E420" s="59" t="inlineStr">
        <is>
          <t>Gear</t>
        </is>
      </c>
      <c r="F420" s="59" t="inlineStr">
        <is>
          <t>2</t>
        </is>
      </c>
      <c r="G420" s="59" t="inlineStr">
        <is>
          <t>2</t>
        </is>
      </c>
      <c r="H420" s="59" t="inlineStr">
        <is>
          <t>Common</t>
        </is>
      </c>
      <c r="I420" s="59" t="inlineStr">
        <is>
          <t>Equipment</t>
        </is>
      </c>
      <c r="J420" s="9" t="inlineStr">
        <is>
          <t>[EQUIP Body] (Body: Attach this to a unit you control.)
+2 Might</t>
        </is>
      </c>
    </row>
    <row r="421" ht="15" customHeight="1">
      <c r="A421" s="59" t="inlineStr">
        <is>
          <t>SFD-096</t>
        </is>
      </c>
      <c r="B421" s="59" t="n">
        <v>3</v>
      </c>
      <c r="C421" s="59" t="inlineStr">
        <is>
          <t>Laurent Bladekeeper</t>
        </is>
      </c>
      <c r="D421" s="59" t="inlineStr">
        <is>
          <t>Body</t>
        </is>
      </c>
      <c r="E421" s="59" t="inlineStr">
        <is>
          <t>Unit</t>
        </is>
      </c>
      <c r="F421" s="59" t="inlineStr">
        <is>
          <t>3</t>
        </is>
      </c>
      <c r="G421" s="59" t="inlineStr">
        <is>
          <t>3</t>
        </is>
      </c>
      <c r="H421" s="59" t="inlineStr">
        <is>
          <t>Common</t>
        </is>
      </c>
      <c r="I421" s="59" t="inlineStr">
        <is>
          <t>Demacia</t>
        </is>
      </c>
      <c r="J421" s="9" t="inlineStr">
        <is>
          <t>[GANKING] (I can move from battlefield to battlefield.)</t>
        </is>
      </c>
    </row>
    <row r="422" ht="15" customHeight="1">
      <c r="A422" s="59" t="inlineStr">
        <is>
          <t>SFD-097</t>
        </is>
      </c>
      <c r="B422" s="59" t="n">
        <v>3</v>
      </c>
      <c r="C422" s="59" t="inlineStr">
        <is>
          <t>Punch First</t>
        </is>
      </c>
      <c r="D422" s="59" t="inlineStr">
        <is>
          <t>Body</t>
        </is>
      </c>
      <c r="E422" s="59" t="inlineStr">
        <is>
          <t>Spell</t>
        </is>
      </c>
      <c r="F422" s="59" t="inlineStr">
        <is>
          <t>1</t>
        </is>
      </c>
      <c r="G422" s="59" t="inlineStr">
        <is>
          <t>0</t>
        </is>
      </c>
      <c r="H422" s="59" t="inlineStr">
        <is>
          <t>Common</t>
        </is>
      </c>
      <c r="I422" s="59" t="inlineStr"/>
      <c r="J422" s="9" t="inlineStr">
        <is>
          <t>[ACTION] (Play on your turn or in showdowns.)
Give a unit +5 Might this turn.</t>
        </is>
      </c>
    </row>
    <row r="423" ht="15" customHeight="1">
      <c r="A423" s="59" t="inlineStr">
        <is>
          <t>SFD-098</t>
        </is>
      </c>
      <c r="B423" s="59" t="n">
        <v>3</v>
      </c>
      <c r="C423" s="59" t="inlineStr">
        <is>
          <t>Sea Monkey</t>
        </is>
      </c>
      <c r="D423" s="59" t="inlineStr">
        <is>
          <t>Body</t>
        </is>
      </c>
      <c r="E423" s="59" t="inlineStr">
        <is>
          <t>Unit</t>
        </is>
      </c>
      <c r="F423" s="59" t="inlineStr">
        <is>
          <t>2</t>
        </is>
      </c>
      <c r="G423" s="59" t="inlineStr">
        <is>
          <t>2</t>
        </is>
      </c>
      <c r="H423" s="59" t="inlineStr">
        <is>
          <t>Common</t>
        </is>
      </c>
      <c r="I423" s="59" t="inlineStr">
        <is>
          <t>Bilgewater;Pirate</t>
        </is>
      </c>
      <c r="J423" s="9" t="inlineStr">
        <is>
          <t>You may pay 1 as an additional cost to play me.
When you play me, if you paid the additional cost, buff me. (Give me a +1 Might Buff if I don't already have one.)</t>
        </is>
      </c>
    </row>
    <row r="424" ht="15" customHeight="1">
      <c r="A424" s="59" t="inlineStr">
        <is>
          <t>SFD-099</t>
        </is>
      </c>
      <c r="B424" s="59" t="n">
        <v>3</v>
      </c>
      <c r="C424" s="59" t="inlineStr">
        <is>
          <t>Veteran Poro</t>
        </is>
      </c>
      <c r="D424" s="59" t="inlineStr">
        <is>
          <t>Body</t>
        </is>
      </c>
      <c r="E424" s="59" t="inlineStr">
        <is>
          <t>Unit</t>
        </is>
      </c>
      <c r="F424" s="59" t="inlineStr">
        <is>
          <t>2</t>
        </is>
      </c>
      <c r="G424" s="59" t="inlineStr">
        <is>
          <t>2</t>
        </is>
      </c>
      <c r="H424" s="59" t="inlineStr">
        <is>
          <t>Common</t>
        </is>
      </c>
      <c r="I424" s="59" t="inlineStr">
        <is>
          <t>Freljord;Poro</t>
        </is>
      </c>
      <c r="J424" s="9" t="inlineStr">
        <is>
          <t>[WEAPONMASTER] (When you play me, you may [EQUIP] one of your Equipment to me for Rune less, even if it's already attached.)</t>
        </is>
      </c>
    </row>
    <row r="425" ht="15" customHeight="1">
      <c r="A425" s="59" t="inlineStr">
        <is>
          <t>SFD-100</t>
        </is>
      </c>
      <c r="B425" s="59" t="n">
        <v>3</v>
      </c>
      <c r="C425" s="59" t="inlineStr">
        <is>
          <t>Yordle Explorer</t>
        </is>
      </c>
      <c r="D425" s="59" t="inlineStr">
        <is>
          <t>Body</t>
        </is>
      </c>
      <c r="E425" s="59" t="inlineStr">
        <is>
          <t>Unit</t>
        </is>
      </c>
      <c r="F425" s="59" t="inlineStr">
        <is>
          <t>4</t>
        </is>
      </c>
      <c r="G425" s="59" t="inlineStr">
        <is>
          <t>4</t>
        </is>
      </c>
      <c r="H425" s="59" t="inlineStr">
        <is>
          <t>Common</t>
        </is>
      </c>
      <c r="I425" s="59" t="inlineStr">
        <is>
          <t>Bandle City;Yordle</t>
        </is>
      </c>
      <c r="J425" s="9" t="inlineStr">
        <is>
          <t>When you play a card with Power cost 2 Runes or more, draw 1.</t>
        </is>
      </c>
    </row>
    <row r="426" ht="15" customHeight="1">
      <c r="A426" s="59" t="inlineStr">
        <is>
          <t>SFD-101</t>
        </is>
      </c>
      <c r="B426" s="59" t="n">
        <v>3</v>
      </c>
      <c r="C426" s="59" t="inlineStr">
        <is>
          <t>Fae Dragon</t>
        </is>
      </c>
      <c r="D426" s="59" t="inlineStr">
        <is>
          <t>Body</t>
        </is>
      </c>
      <c r="E426" s="59" t="inlineStr">
        <is>
          <t>Unit</t>
        </is>
      </c>
      <c r="F426" s="59" t="inlineStr">
        <is>
          <t>7</t>
        </is>
      </c>
      <c r="G426" s="59" t="inlineStr">
        <is>
          <t>7</t>
        </is>
      </c>
      <c r="H426" s="59" t="inlineStr">
        <is>
          <t>Uncommon</t>
        </is>
      </c>
      <c r="I426" s="59" t="inlineStr">
        <is>
          <t>Bandle City;Dragon;Fae</t>
        </is>
      </c>
      <c r="J426" s="9" t="inlineStr">
        <is>
          <t>When you play me, buff up to four friendly units. (Give each one a +1 Might buff if it doesn't have one.)
When you spend a buff, play a Gold gear token exhausted.</t>
        </is>
      </c>
    </row>
    <row r="427" ht="15" customHeight="1">
      <c r="A427" s="59" t="inlineStr">
        <is>
          <t>SFD-102</t>
        </is>
      </c>
      <c r="B427" s="59" t="n">
        <v>3</v>
      </c>
      <c r="C427" s="59" t="inlineStr">
        <is>
          <t>Hexdrinker</t>
        </is>
      </c>
      <c r="D427" s="59" t="inlineStr">
        <is>
          <t>Body</t>
        </is>
      </c>
      <c r="E427" s="59" t="inlineStr">
        <is>
          <t>Gear</t>
        </is>
      </c>
      <c r="F427" s="59" t="inlineStr">
        <is>
          <t>2</t>
        </is>
      </c>
      <c r="G427" s="59" t="inlineStr"/>
      <c r="H427" s="59" t="inlineStr">
        <is>
          <t>Uncommon</t>
        </is>
      </c>
      <c r="I427" s="59" t="inlineStr">
        <is>
          <t>Equipment</t>
        </is>
      </c>
      <c r="J427" s="9" t="inlineStr">
        <is>
          <t>[EQUIP Body] (Body: Attach this to a unit you control.)
[DEFLECT] (Opponents must pay Rune to choose me with a spell or ability.) +1 Might</t>
        </is>
      </c>
    </row>
    <row r="428" ht="15" customHeight="1">
      <c r="A428" s="59" t="inlineStr">
        <is>
          <t>SFD-103</t>
        </is>
      </c>
      <c r="B428" s="59" t="n">
        <v>3</v>
      </c>
      <c r="C428" s="59" t="inlineStr">
        <is>
          <t>Jaull-Fish</t>
        </is>
      </c>
      <c r="D428" s="59" t="inlineStr">
        <is>
          <t>Body</t>
        </is>
      </c>
      <c r="E428" s="59" t="inlineStr">
        <is>
          <t>Unit</t>
        </is>
      </c>
      <c r="F428" s="59" t="inlineStr">
        <is>
          <t>7</t>
        </is>
      </c>
      <c r="G428" s="59" t="inlineStr">
        <is>
          <t>6</t>
        </is>
      </c>
      <c r="H428" s="59" t="inlineStr">
        <is>
          <t>Common</t>
        </is>
      </c>
      <c r="I428" s="59" t="inlineStr">
        <is>
          <t>Bilgewater</t>
        </is>
      </c>
      <c r="J428" s="9" t="inlineStr">
        <is>
          <t>[ACCELERATE] (You may pay 1 Body as an additional cost to have me enter ready.)
I cost 2 less for each of your [MIGHTY] units. A unit is Mighty while it has 5+ Might.)</t>
        </is>
      </c>
    </row>
    <row r="429" ht="15" customHeight="1">
      <c r="A429" s="59" t="inlineStr">
        <is>
          <t>SFD-104</t>
        </is>
      </c>
      <c r="B429" s="59" t="n">
        <v>2</v>
      </c>
      <c r="C429" s="59" t="inlineStr">
        <is>
          <t>Petricite Monument</t>
        </is>
      </c>
      <c r="D429" s="59" t="inlineStr">
        <is>
          <t>Body</t>
        </is>
      </c>
      <c r="E429" s="59" t="inlineStr">
        <is>
          <t>Gear</t>
        </is>
      </c>
      <c r="F429" s="59" t="inlineStr">
        <is>
          <t>2</t>
        </is>
      </c>
      <c r="G429" s="59" t="inlineStr"/>
      <c r="H429" s="59" t="inlineStr">
        <is>
          <t>Uncommon</t>
        </is>
      </c>
      <c r="I429" s="59" t="inlineStr"/>
      <c r="J429" s="9" t="inlineStr">
        <is>
          <t>[TEMPORARY] (Kill this at the start of its controller's Beginning Phase, before scoring.)
Friendly units have [DEFLECT]. (Opponents must pay Rune to choose them with a spell or ability.)</t>
        </is>
      </c>
    </row>
    <row r="430" ht="15" customHeight="1">
      <c r="A430" s="59" t="inlineStr">
        <is>
          <t>SFD-105</t>
        </is>
      </c>
      <c r="B430" s="59" t="n">
        <v>1</v>
      </c>
      <c r="C430" s="59" t="inlineStr">
        <is>
          <t>Ruin Runner</t>
        </is>
      </c>
      <c r="D430" s="59" t="inlineStr">
        <is>
          <t>Body</t>
        </is>
      </c>
      <c r="E430" s="59" t="inlineStr">
        <is>
          <t>Unit</t>
        </is>
      </c>
      <c r="F430" s="59" t="inlineStr">
        <is>
          <t>6</t>
        </is>
      </c>
      <c r="G430" s="59" t="inlineStr">
        <is>
          <t>5</t>
        </is>
      </c>
      <c r="H430" s="59" t="inlineStr">
        <is>
          <t>Uncommon</t>
        </is>
      </c>
      <c r="I430" s="59" t="inlineStr">
        <is>
          <t>Shurima</t>
        </is>
      </c>
      <c r="J430" s="9" t="inlineStr">
        <is>
          <t>I can't be chosen by enemy spells and abilities.</t>
        </is>
      </c>
    </row>
    <row r="431" ht="15" customHeight="1">
      <c r="A431" s="59" t="inlineStr">
        <is>
          <t>SFD-106</t>
        </is>
      </c>
      <c r="B431" s="59" t="n">
        <v>3</v>
      </c>
      <c r="C431" s="59" t="inlineStr">
        <is>
          <t>Show of Strength</t>
        </is>
      </c>
      <c r="D431" s="59" t="inlineStr">
        <is>
          <t>Body</t>
        </is>
      </c>
      <c r="E431" s="59" t="inlineStr">
        <is>
          <t>Spell</t>
        </is>
      </c>
      <c r="F431" s="59" t="inlineStr">
        <is>
          <t>2</t>
        </is>
      </c>
      <c r="G431" s="59" t="inlineStr"/>
      <c r="H431" s="59" t="inlineStr">
        <is>
          <t>Uncommon</t>
        </is>
      </c>
      <c r="I431" s="59" t="inlineStr"/>
      <c r="J431" s="9" t="inlineStr">
        <is>
          <t>[REACTION] (Play any time, even before spells and abilities resolve.)
Draw 1 for each of your [MIGHTY] units. (A unit is Mighty while it has 5+ Might)</t>
        </is>
      </c>
    </row>
    <row r="432" ht="15" customHeight="1">
      <c r="A432" s="59" t="inlineStr">
        <is>
          <t>SFD-107</t>
        </is>
      </c>
      <c r="B432" s="59" t="n">
        <v>3</v>
      </c>
      <c r="C432" s="59" t="inlineStr">
        <is>
          <t>Strike Down</t>
        </is>
      </c>
      <c r="D432" s="59" t="inlineStr">
        <is>
          <t>Body</t>
        </is>
      </c>
      <c r="E432" s="59" t="inlineStr">
        <is>
          <t>Spell</t>
        </is>
      </c>
      <c r="F432" s="59" t="inlineStr">
        <is>
          <t>3</t>
        </is>
      </c>
      <c r="G432" s="59" t="inlineStr"/>
      <c r="H432" s="59" t="inlineStr">
        <is>
          <t>Uncommon</t>
        </is>
      </c>
      <c r="I432" s="59" t="inlineStr"/>
      <c r="J432" s="9" t="inlineStr">
        <is>
          <t>Choose an equipped friendly unit. It deals damage equal to its Might to an enemy unit. Then detach an Equipment from it.</t>
        </is>
      </c>
    </row>
    <row r="433" ht="15" customHeight="1">
      <c r="A433" s="59" t="inlineStr">
        <is>
          <t>SFD-108</t>
        </is>
      </c>
      <c r="B433" s="59" t="n">
        <v>3</v>
      </c>
      <c r="C433" s="59" t="inlineStr">
        <is>
          <t>Warmog's Armor</t>
        </is>
      </c>
      <c r="D433" s="59" t="inlineStr">
        <is>
          <t>Body</t>
        </is>
      </c>
      <c r="E433" s="59" t="inlineStr">
        <is>
          <t>Gear</t>
        </is>
      </c>
      <c r="F433" s="59" t="inlineStr">
        <is>
          <t>1</t>
        </is>
      </c>
      <c r="G433" s="59" t="inlineStr">
        <is>
          <t>0</t>
        </is>
      </c>
      <c r="H433" s="59" t="inlineStr">
        <is>
          <t>Uncommon</t>
        </is>
      </c>
      <c r="I433" s="59" t="inlineStr"/>
      <c r="J433" s="9" t="inlineStr">
        <is>
          <t>[EQUIP Body] (Body: Attach this to a unit you control.)
When I conquer, buff me. (If I don't have a buff, I get a +1 Might buff.)+1 Might</t>
        </is>
      </c>
    </row>
    <row r="434" ht="15" customHeight="1">
      <c r="A434" s="59" t="inlineStr">
        <is>
          <t>SFD-109</t>
        </is>
      </c>
      <c r="B434" s="59" t="n">
        <v>3</v>
      </c>
      <c r="C434" s="59" t="inlineStr">
        <is>
          <t>Akshan - Mischievous</t>
        </is>
      </c>
      <c r="D434" s="59" t="inlineStr">
        <is>
          <t>Body</t>
        </is>
      </c>
      <c r="E434" s="59" t="inlineStr">
        <is>
          <t>Champion Unit</t>
        </is>
      </c>
      <c r="F434" s="59" t="inlineStr">
        <is>
          <t>4</t>
        </is>
      </c>
      <c r="G434" s="59" t="inlineStr">
        <is>
          <t>4</t>
        </is>
      </c>
      <c r="H434" s="59" t="inlineStr">
        <is>
          <t>Rare</t>
        </is>
      </c>
      <c r="I434" s="59" t="inlineStr">
        <is>
          <t>Shurima;Sentinel;Akshan</t>
        </is>
      </c>
      <c r="J434" s="9" t="inlineStr">
        <is>
          <t>[WEAPONMASTER]
You may pay Body Body as an additional cost to play me.
When you play me, if you paid the additional cost, move an enemy gear to your base. You control it until I leave the board. If it's an Equipment, attach it to me.</t>
        </is>
      </c>
    </row>
    <row r="435" ht="15" customHeight="1">
      <c r="A435" s="59" t="inlineStr">
        <is>
          <t>SFD-110</t>
        </is>
      </c>
      <c r="B435" s="59" t="n">
        <v>2</v>
      </c>
      <c r="C435" s="59" t="inlineStr">
        <is>
          <t>Fiora - Peerless</t>
        </is>
      </c>
      <c r="D435" s="59" t="inlineStr">
        <is>
          <t>Body</t>
        </is>
      </c>
      <c r="E435" s="59" t="inlineStr">
        <is>
          <t>Champion Unit</t>
        </is>
      </c>
      <c r="F435" s="59" t="inlineStr">
        <is>
          <t>3</t>
        </is>
      </c>
      <c r="G435" s="59" t="inlineStr">
        <is>
          <t>3</t>
        </is>
      </c>
      <c r="H435" s="59" t="inlineStr">
        <is>
          <t>Rare</t>
        </is>
      </c>
      <c r="I435" s="59" t="inlineStr">
        <is>
          <t>Demacia;Fiora</t>
        </is>
      </c>
      <c r="J435" s="9" t="inlineStr">
        <is>
          <t>When I attack or defend one on one, double my Might this combat.</t>
        </is>
      </c>
    </row>
    <row r="436" ht="15" customHeight="1">
      <c r="A436" s="59" t="inlineStr">
        <is>
          <t>SFD-111</t>
        </is>
      </c>
      <c r="B436" s="59" t="n">
        <v>3</v>
      </c>
      <c r="C436" s="59" t="inlineStr">
        <is>
          <t>Here to Help</t>
        </is>
      </c>
      <c r="D436" s="59" t="inlineStr">
        <is>
          <t>Body</t>
        </is>
      </c>
      <c r="E436" s="59" t="inlineStr">
        <is>
          <t>Spell</t>
        </is>
      </c>
      <c r="F436" s="59" t="inlineStr">
        <is>
          <t>2</t>
        </is>
      </c>
      <c r="G436" s="59" t="inlineStr">
        <is>
          <t>0</t>
        </is>
      </c>
      <c r="H436" s="59" t="inlineStr">
        <is>
          <t>Rare</t>
        </is>
      </c>
      <c r="I436" s="59" t="inlineStr"/>
      <c r="J436" s="9" t="inlineStr">
        <is>
          <t>[HIDDEN] (Hide now for Rune to react with later for 0.)
[ACTION] (Play on your turn or in showdowns.)
You may play a unit from hand to a battlefield you control, reducing its cost by 3.</t>
        </is>
      </c>
    </row>
    <row r="437" ht="15" customHeight="1">
      <c r="A437" s="59" t="inlineStr">
        <is>
          <t>SFD-112</t>
        </is>
      </c>
      <c r="B437" s="59" t="n">
        <v>1</v>
      </c>
      <c r="C437" s="59" t="inlineStr">
        <is>
          <t>Kato the Arm</t>
        </is>
      </c>
      <c r="D437" s="59" t="inlineStr">
        <is>
          <t>Body</t>
        </is>
      </c>
      <c r="E437" s="59" t="inlineStr">
        <is>
          <t>Unit</t>
        </is>
      </c>
      <c r="F437" s="59" t="inlineStr">
        <is>
          <t>4</t>
        </is>
      </c>
      <c r="G437" s="59" t="inlineStr">
        <is>
          <t>3</t>
        </is>
      </c>
      <c r="H437" s="59" t="inlineStr">
        <is>
          <t>Rare</t>
        </is>
      </c>
      <c r="I437" s="59" t="inlineStr">
        <is>
          <t>Noxus</t>
        </is>
      </c>
      <c r="J437" s="9" t="inlineStr">
        <is>
          <t>[DEFLECT] (Opponents must pay Rune to choose me with a spell or ability.)
When I move to a battlefield, give a friendly unit my keywords and +Might equal to my Might this turn.</t>
        </is>
      </c>
    </row>
    <row r="438" ht="15" customHeight="1">
      <c r="A438" s="59" t="inlineStr">
        <is>
          <t>SFD-113</t>
        </is>
      </c>
      <c r="B438" s="59" t="n">
        <v>2</v>
      </c>
      <c r="C438" s="59" t="inlineStr">
        <is>
          <t>Lucian - Merciless</t>
        </is>
      </c>
      <c r="D438" s="59" t="inlineStr">
        <is>
          <t>Body</t>
        </is>
      </c>
      <c r="E438" s="59" t="inlineStr">
        <is>
          <t>Champion Unit</t>
        </is>
      </c>
      <c r="F438" s="59" t="inlineStr">
        <is>
          <t>3</t>
        </is>
      </c>
      <c r="G438" s="59" t="inlineStr">
        <is>
          <t>3</t>
        </is>
      </c>
      <c r="H438" s="59" t="inlineStr">
        <is>
          <t>Rare</t>
        </is>
      </c>
      <c r="I438" s="59" t="inlineStr">
        <is>
          <t>Demacia;Lucian;Sentinel</t>
        </is>
      </c>
      <c r="J438" s="9" t="inlineStr">
        <is>
          <t>[WEAPONMASTER] (When you play me, you may [Equip] one of your Equipment to me for 1 Rune less, even if it's already attached.) The first time I conquer each turn, ready me.</t>
        </is>
      </c>
    </row>
    <row r="439" ht="15" customHeight="1">
      <c r="A439" s="22" t="inlineStr">
        <is>
          <t>SFD-114</t>
        </is>
      </c>
      <c r="B439" s="22" t="inlineStr"/>
      <c r="C439" s="22" t="inlineStr">
        <is>
          <t>Marching Orders</t>
        </is>
      </c>
      <c r="D439" s="22" t="inlineStr">
        <is>
          <t>Body</t>
        </is>
      </c>
      <c r="E439" s="22" t="inlineStr">
        <is>
          <t>Spell</t>
        </is>
      </c>
      <c r="F439" s="22" t="inlineStr">
        <is>
          <t>3</t>
        </is>
      </c>
      <c r="G439" s="22" t="inlineStr"/>
      <c r="H439" s="22" t="inlineStr">
        <is>
          <t>Rare</t>
        </is>
      </c>
      <c r="I439" s="22" t="inlineStr"/>
      <c r="J439" s="23" t="inlineStr">
        <is>
          <t>[ACTION] (Play on your turn or in showdowns.)
[REPEAT 3]  (You may pay the additional cost to repeat this spell's effect.)
Choose a friendly unit anywhere and an enemy unit at a battlefield. They deal damage equal to their Mights to each other.</t>
        </is>
      </c>
    </row>
    <row r="440" ht="15" customHeight="1">
      <c r="A440" s="59" t="inlineStr">
        <is>
          <t>SFD-115</t>
        </is>
      </c>
      <c r="B440" s="59" t="n">
        <v>3</v>
      </c>
      <c r="C440" s="59" t="inlineStr">
        <is>
          <t>Trinity Force</t>
        </is>
      </c>
      <c r="D440" s="59" t="inlineStr">
        <is>
          <t>Body</t>
        </is>
      </c>
      <c r="E440" s="59" t="inlineStr">
        <is>
          <t>Gear</t>
        </is>
      </c>
      <c r="F440" s="59" t="inlineStr">
        <is>
          <t>4</t>
        </is>
      </c>
      <c r="G440" s="59" t="inlineStr">
        <is>
          <t>0</t>
        </is>
      </c>
      <c r="H440" s="59" t="inlineStr">
        <is>
          <t>Rare</t>
        </is>
      </c>
      <c r="I440" s="59" t="inlineStr">
        <is>
          <t>Equipment</t>
        </is>
      </c>
      <c r="J440" s="9" t="inlineStr">
        <is>
          <t>[EQUIP Body] (Body: Attach this to a unit you control.) When I hold, score 1 point. +2 Might</t>
        </is>
      </c>
    </row>
    <row r="441" ht="15" customHeight="1">
      <c r="A441" s="59" t="inlineStr">
        <is>
          <t>SFD-116</t>
        </is>
      </c>
      <c r="B441" s="59" t="n">
        <v>3</v>
      </c>
      <c r="C441" s="59" t="inlineStr">
        <is>
          <t>Yone - Blademaster</t>
        </is>
      </c>
      <c r="D441" s="59" t="inlineStr">
        <is>
          <t>Body</t>
        </is>
      </c>
      <c r="E441" s="59" t="inlineStr">
        <is>
          <t>Champion Unit</t>
        </is>
      </c>
      <c r="F441" s="59" t="inlineStr">
        <is>
          <t>5</t>
        </is>
      </c>
      <c r="G441" s="59" t="inlineStr">
        <is>
          <t>5</t>
        </is>
      </c>
      <c r="H441" s="59" t="inlineStr">
        <is>
          <t>Rare</t>
        </is>
      </c>
      <c r="I441" s="59" t="inlineStr">
        <is>
          <t>Ionia;Yone;Demon</t>
        </is>
      </c>
      <c r="J441" s="9" t="inlineStr">
        <is>
          <t>[WEAPONMASTER] (When you play me, you may [EQUIP] one of your Equipment to me for Rune less, even if it's already attached.)
When I conquer an open battlefield, deal damage equal to my Might to an enemy unit in a base.</t>
        </is>
      </c>
    </row>
    <row r="442" ht="15" customHeight="1">
      <c r="A442" s="22" t="inlineStr">
        <is>
          <t>SFD-117</t>
        </is>
      </c>
      <c r="B442" s="22" t="inlineStr"/>
      <c r="C442" s="22" t="inlineStr">
        <is>
          <t>Ancient Henge</t>
        </is>
      </c>
      <c r="D442" s="22" t="inlineStr">
        <is>
          <t>Body</t>
        </is>
      </c>
      <c r="E442" s="22" t="inlineStr">
        <is>
          <t>Gear</t>
        </is>
      </c>
      <c r="F442" s="22" t="inlineStr">
        <is>
          <t>2</t>
        </is>
      </c>
      <c r="G442" s="22" t="inlineStr"/>
      <c r="H442" s="22" t="inlineStr">
        <is>
          <t>Epic</t>
        </is>
      </c>
      <c r="I442" s="22" t="inlineStr"/>
      <c r="J442" s="23" t="inlineStr">
        <is>
          <t>Exhaust: [REACTION] — Pay any amount of Energy to [ADD] that much Rune. (Abilities that add resources can't be reacted to.)</t>
        </is>
      </c>
    </row>
    <row r="443" ht="15" customHeight="1">
      <c r="A443" s="22" t="inlineStr">
        <is>
          <t>SFD-118</t>
        </is>
      </c>
      <c r="B443" s="22" t="inlineStr"/>
      <c r="C443" s="22" t="inlineStr">
        <is>
          <t>Boneshiver</t>
        </is>
      </c>
      <c r="D443" s="22" t="inlineStr">
        <is>
          <t>Body</t>
        </is>
      </c>
      <c r="E443" s="22" t="inlineStr">
        <is>
          <t>Gear</t>
        </is>
      </c>
      <c r="F443" s="22" t="inlineStr">
        <is>
          <t>3</t>
        </is>
      </c>
      <c r="G443" s="22" t="inlineStr">
        <is>
          <t>0</t>
        </is>
      </c>
      <c r="H443" s="22" t="inlineStr">
        <is>
          <t>Epic</t>
        </is>
      </c>
      <c r="I443" s="22" t="inlineStr">
        <is>
          <t>Equipment</t>
        </is>
      </c>
      <c r="J443" s="23" t="inlineStr">
        <is>
          <t>[EQUIP 1 Body] (1 Body: Attach this to a unit you control.) When I conquer, channel 1 rune exhausted. Might +2.</t>
        </is>
      </c>
    </row>
    <row r="444" ht="15" customHeight="1">
      <c r="A444" s="59" t="inlineStr">
        <is>
          <t>SFD-119</t>
        </is>
      </c>
      <c r="B444" s="59" t="n">
        <v>1</v>
      </c>
      <c r="C444" s="59" t="inlineStr">
        <is>
          <t>Jax - Unrelenting</t>
        </is>
      </c>
      <c r="D444" s="59" t="inlineStr">
        <is>
          <t>Body</t>
        </is>
      </c>
      <c r="E444" s="59" t="inlineStr">
        <is>
          <t>Champion Unit</t>
        </is>
      </c>
      <c r="F444" s="59" t="inlineStr">
        <is>
          <t>4</t>
        </is>
      </c>
      <c r="G444" s="59" t="inlineStr">
        <is>
          <t>3</t>
        </is>
      </c>
      <c r="H444" s="59" t="inlineStr">
        <is>
          <t>Epic</t>
        </is>
      </c>
      <c r="I444" s="59" t="inlineStr">
        <is>
          <t>Jax;Icathia</t>
        </is>
      </c>
      <c r="J444" s="9" t="inlineStr">
        <is>
          <t>[WEAPONMASTER] (When you play me, you may [Equip] one of your Equipment to me for 1 Rune less, even if it's already attached.) When you attach an Equipment to me, you may pay 1 to draw 1.</t>
        </is>
      </c>
    </row>
    <row r="445" ht="15" customHeight="1">
      <c r="A445" s="26" t="inlineStr">
        <is>
          <t>SFD-120</t>
        </is>
      </c>
      <c r="B445" s="26" t="inlineStr"/>
      <c r="C445" s="26" t="inlineStr">
        <is>
          <t>Sivir - Ambitious</t>
        </is>
      </c>
      <c r="D445" s="26" t="inlineStr">
        <is>
          <t>Order</t>
        </is>
      </c>
      <c r="E445" s="26" t="inlineStr">
        <is>
          <t>Champion Unit</t>
        </is>
      </c>
      <c r="F445" s="26" t="inlineStr">
        <is>
          <t>6</t>
        </is>
      </c>
      <c r="G445" s="26" t="inlineStr">
        <is>
          <t>7</t>
        </is>
      </c>
      <c r="H445" s="26" t="inlineStr">
        <is>
          <t>Epic</t>
        </is>
      </c>
      <c r="I445" s="26" t="inlineStr">
        <is>
          <t>Shurima;Sivir</t>
        </is>
      </c>
      <c r="J445" s="27" t="inlineStr">
        <is>
          <t>[DEFLECT 2] (Opponents must pay to choose me with a spell or Ability.) When I conquer after an attack, if you assigned 5 or more excess damage to enemy units, you may deal that much to an enemy unit.</t>
        </is>
      </c>
    </row>
    <row r="446" ht="15" customHeight="1">
      <c r="A446" s="55" t="inlineStr">
        <is>
          <t>SFD-121</t>
        </is>
      </c>
      <c r="B446" s="55" t="n">
        <v>2</v>
      </c>
      <c r="C446" s="55" t="inlineStr">
        <is>
          <t>Black Market Broker</t>
        </is>
      </c>
      <c r="D446" s="55" t="inlineStr">
        <is>
          <t>Chaos</t>
        </is>
      </c>
      <c r="E446" s="55" t="inlineStr">
        <is>
          <t>Unit</t>
        </is>
      </c>
      <c r="F446" s="55" t="inlineStr">
        <is>
          <t>3</t>
        </is>
      </c>
      <c r="G446" s="55" t="inlineStr">
        <is>
          <t>3</t>
        </is>
      </c>
      <c r="H446" s="55" t="inlineStr">
        <is>
          <t>Common</t>
        </is>
      </c>
      <c r="I446" s="55" t="inlineStr">
        <is>
          <t>Zaun</t>
        </is>
      </c>
      <c r="J446" s="11" t="inlineStr">
        <is>
          <t>When you play a card from face down, play a gold gear token exhausted.</t>
        </is>
      </c>
    </row>
    <row r="447" ht="15" customHeight="1">
      <c r="A447" s="55" t="inlineStr">
        <is>
          <t>SFD-122</t>
        </is>
      </c>
      <c r="B447" s="55" t="n">
        <v>1</v>
      </c>
      <c r="C447" s="55" t="inlineStr">
        <is>
          <t>Called Shot</t>
        </is>
      </c>
      <c r="D447" s="55" t="inlineStr">
        <is>
          <t>Chaos</t>
        </is>
      </c>
      <c r="E447" s="55" t="inlineStr">
        <is>
          <t>Spell</t>
        </is>
      </c>
      <c r="F447" s="55" t="inlineStr">
        <is>
          <t>0</t>
        </is>
      </c>
      <c r="G447" s="55" t="inlineStr">
        <is>
          <t>0</t>
        </is>
      </c>
      <c r="H447" s="55" t="inlineStr">
        <is>
          <t>Common</t>
        </is>
      </c>
      <c r="I447" s="55" t="inlineStr"/>
      <c r="J447" s="11" t="inlineStr">
        <is>
          <t>[ACTION] (Play on your turn or in showdowns.)
[REPEAT Chaos] (You may pay the additional cost to repeat this spell's effect.)
Look at the top 2 cards of your Main Deck. Draw one and recycle the other.</t>
        </is>
      </c>
    </row>
    <row r="448" ht="15" customHeight="1">
      <c r="A448" s="55" t="inlineStr">
        <is>
          <t>SFD-123</t>
        </is>
      </c>
      <c r="B448" s="55" t="n">
        <v>3</v>
      </c>
      <c r="C448" s="55" t="inlineStr">
        <is>
          <t>Corrupt Enforcer</t>
        </is>
      </c>
      <c r="D448" s="55" t="inlineStr">
        <is>
          <t>Chaos</t>
        </is>
      </c>
      <c r="E448" s="55" t="inlineStr">
        <is>
          <t>Unit</t>
        </is>
      </c>
      <c r="F448" s="55" t="inlineStr">
        <is>
          <t>3</t>
        </is>
      </c>
      <c r="G448" s="55" t="inlineStr">
        <is>
          <t>4</t>
        </is>
      </c>
      <c r="H448" s="55" t="inlineStr">
        <is>
          <t>Common</t>
        </is>
      </c>
      <c r="I448" s="55" t="inlineStr">
        <is>
          <t>Piltover</t>
        </is>
      </c>
      <c r="J448" s="11" t="inlineStr">
        <is>
          <t>When I move to a battlefield, discard 1.
When I win combat, draw 1.</t>
        </is>
      </c>
    </row>
    <row r="449" ht="15" customHeight="1">
      <c r="A449" s="55" t="inlineStr">
        <is>
          <t>SFD-124</t>
        </is>
      </c>
      <c r="B449" s="55" t="n">
        <v>3</v>
      </c>
      <c r="C449" s="55" t="inlineStr">
        <is>
          <t>Doran's Ring</t>
        </is>
      </c>
      <c r="D449" s="55" t="inlineStr">
        <is>
          <t>Chaos</t>
        </is>
      </c>
      <c r="E449" s="55" t="inlineStr">
        <is>
          <t>Gear</t>
        </is>
      </c>
      <c r="F449" s="55" t="inlineStr">
        <is>
          <t>1</t>
        </is>
      </c>
      <c r="G449" s="55" t="inlineStr">
        <is>
          <t>1</t>
        </is>
      </c>
      <c r="H449" s="55" t="inlineStr">
        <is>
          <t>Common</t>
        </is>
      </c>
      <c r="I449" s="55" t="inlineStr">
        <is>
          <t>Equipment</t>
        </is>
      </c>
      <c r="J449" s="11" t="inlineStr">
        <is>
          <t>[EQUIP Chaos] (Chaos: Attach this to a unit you control.)
When I conquer, discard 1, then draw 1. +1 Might</t>
        </is>
      </c>
    </row>
    <row r="450" ht="15" customHeight="1">
      <c r="A450" s="55" t="inlineStr">
        <is>
          <t>SFD-125</t>
        </is>
      </c>
      <c r="B450" s="55" t="n">
        <v>3</v>
      </c>
      <c r="C450" s="55" t="inlineStr">
        <is>
          <t>Fae Porter</t>
        </is>
      </c>
      <c r="D450" s="55" t="inlineStr">
        <is>
          <t>Chaos</t>
        </is>
      </c>
      <c r="E450" s="55" t="inlineStr">
        <is>
          <t>Unit</t>
        </is>
      </c>
      <c r="F450" s="55" t="inlineStr">
        <is>
          <t>4</t>
        </is>
      </c>
      <c r="G450" s="55" t="inlineStr">
        <is>
          <t>4</t>
        </is>
      </c>
      <c r="H450" s="55" t="inlineStr">
        <is>
          <t>Common</t>
        </is>
      </c>
      <c r="I450" s="55" t="inlineStr">
        <is>
          <t>Ionia;Fae</t>
        </is>
      </c>
      <c r="J450" s="11" t="inlineStr">
        <is>
          <t>When I move to a battlefield, you may pay Chaos to move a unit you control to the same battlefield.</t>
        </is>
      </c>
    </row>
    <row r="451" ht="15" customHeight="1">
      <c r="A451" s="55" t="inlineStr">
        <is>
          <t>SFD-126</t>
        </is>
      </c>
      <c r="B451" s="55" t="n">
        <v>3</v>
      </c>
      <c r="C451" s="55" t="inlineStr">
        <is>
          <t>Loyal Pup</t>
        </is>
      </c>
      <c r="D451" s="55" t="inlineStr">
        <is>
          <t>Chaos</t>
        </is>
      </c>
      <c r="E451" s="55" t="inlineStr">
        <is>
          <t>Unit</t>
        </is>
      </c>
      <c r="F451" s="55" t="inlineStr">
        <is>
          <t>3</t>
        </is>
      </c>
      <c r="G451" s="55" t="inlineStr">
        <is>
          <t>3</t>
        </is>
      </c>
      <c r="H451" s="55" t="inlineStr">
        <is>
          <t>Common</t>
        </is>
      </c>
      <c r="I451" s="55" t="inlineStr">
        <is>
          <t>Bandle City;Dog</t>
        </is>
      </c>
      <c r="J451" s="11" t="inlineStr">
        <is>
          <t>When you defend at a battlefield, you may move me there.</t>
        </is>
      </c>
    </row>
    <row r="452" ht="15" customHeight="1">
      <c r="A452" s="55" t="inlineStr">
        <is>
          <t>SFD-127</t>
        </is>
      </c>
      <c r="B452" s="55" t="n">
        <v>3</v>
      </c>
      <c r="C452" s="55" t="inlineStr">
        <is>
          <t>Master Bingwen</t>
        </is>
      </c>
      <c r="D452" s="55" t="inlineStr">
        <is>
          <t>Chaos</t>
        </is>
      </c>
      <c r="E452" s="55" t="inlineStr">
        <is>
          <t>Unit</t>
        </is>
      </c>
      <c r="F452" s="55" t="inlineStr">
        <is>
          <t>6</t>
        </is>
      </c>
      <c r="G452" s="55" t="inlineStr">
        <is>
          <t>6</t>
        </is>
      </c>
      <c r="H452" s="55" t="inlineStr">
        <is>
          <t>Common</t>
        </is>
      </c>
      <c r="I452" s="55" t="inlineStr">
        <is>
          <t>Ionia</t>
        </is>
      </c>
      <c r="J452" s="11" t="inlineStr">
        <is>
          <t>[WEAPONMASTER] (When you play me, you may [EQUIP] one of your Equipment to me for 1 Rune less, even if it's already attached.)</t>
        </is>
      </c>
    </row>
    <row r="453" ht="15" customHeight="1">
      <c r="A453" s="55" t="inlineStr">
        <is>
          <t>SFD-128</t>
        </is>
      </c>
      <c r="B453" s="55" t="n">
        <v>1</v>
      </c>
      <c r="C453" s="55" t="inlineStr">
        <is>
          <t>Overzealous Fan</t>
        </is>
      </c>
      <c r="D453" s="55" t="inlineStr">
        <is>
          <t>Chaos</t>
        </is>
      </c>
      <c r="E453" s="55" t="inlineStr">
        <is>
          <t>Unit</t>
        </is>
      </c>
      <c r="F453" s="55" t="inlineStr">
        <is>
          <t>2</t>
        </is>
      </c>
      <c r="G453" s="55" t="inlineStr">
        <is>
          <t>2</t>
        </is>
      </c>
      <c r="H453" s="55" t="inlineStr">
        <is>
          <t>Common</t>
        </is>
      </c>
      <c r="I453" s="55" t="inlineStr">
        <is>
          <t>Noxus</t>
        </is>
      </c>
      <c r="J453" s="11" t="inlineStr">
        <is>
          <t>When I defend, you may kill me to move an attacking unit to its base.</t>
        </is>
      </c>
    </row>
    <row r="454" ht="15" customHeight="1">
      <c r="A454" s="55" t="inlineStr">
        <is>
          <t>SFD-129</t>
        </is>
      </c>
      <c r="B454" s="55" t="n">
        <v>2</v>
      </c>
      <c r="C454" s="55" t="inlineStr">
        <is>
          <t>Temptation</t>
        </is>
      </c>
      <c r="D454" s="55" t="inlineStr">
        <is>
          <t>Chaos</t>
        </is>
      </c>
      <c r="E454" s="55" t="inlineStr">
        <is>
          <t>Spell</t>
        </is>
      </c>
      <c r="F454" s="55" t="inlineStr">
        <is>
          <t>2</t>
        </is>
      </c>
      <c r="G454" s="55" t="inlineStr"/>
      <c r="H454" s="55" t="inlineStr">
        <is>
          <t>Common</t>
        </is>
      </c>
      <c r="I454" s="55" t="inlineStr"/>
      <c r="J454" s="11" t="inlineStr">
        <is>
          <t>[REPEAT 2] (You may pay the additional cost to repeat this spell's effect.)
Move an enemy unit to a location where there's a unit with the same controller.</t>
        </is>
      </c>
    </row>
    <row r="455" ht="15" customHeight="1">
      <c r="A455" s="55" t="inlineStr">
        <is>
          <t>SFD-130</t>
        </is>
      </c>
      <c r="B455" s="55" t="n">
        <v>3</v>
      </c>
      <c r="C455" s="55" t="inlineStr">
        <is>
          <t>Treasure Hunter</t>
        </is>
      </c>
      <c r="D455" s="55" t="inlineStr">
        <is>
          <t>Chaos</t>
        </is>
      </c>
      <c r="E455" s="55" t="inlineStr">
        <is>
          <t>Unit</t>
        </is>
      </c>
      <c r="F455" s="55" t="inlineStr">
        <is>
          <t>2</t>
        </is>
      </c>
      <c r="G455" s="55" t="inlineStr">
        <is>
          <t>1</t>
        </is>
      </c>
      <c r="H455" s="55" t="inlineStr">
        <is>
          <t>Common</t>
        </is>
      </c>
      <c r="I455" s="55" t="inlineStr">
        <is>
          <t>Shurima</t>
        </is>
      </c>
      <c r="J455" s="11" t="inlineStr">
        <is>
          <t>When I move, play a Gold gear token exhausted.</t>
        </is>
      </c>
    </row>
    <row r="456" ht="15" customHeight="1">
      <c r="A456" s="24" t="inlineStr">
        <is>
          <t>SFD-131</t>
        </is>
      </c>
      <c r="B456" s="24" t="inlineStr"/>
      <c r="C456" s="24" t="inlineStr">
        <is>
          <t>Ancient Warmonger</t>
        </is>
      </c>
      <c r="D456" s="24" t="inlineStr">
        <is>
          <t>Chaos</t>
        </is>
      </c>
      <c r="E456" s="24" t="inlineStr">
        <is>
          <t>Unit</t>
        </is>
      </c>
      <c r="F456" s="24" t="inlineStr">
        <is>
          <t>5</t>
        </is>
      </c>
      <c r="G456" s="24" t="inlineStr">
        <is>
          <t>4</t>
        </is>
      </c>
      <c r="H456" s="24" t="inlineStr">
        <is>
          <t>Uncommon</t>
        </is>
      </c>
      <c r="I456" s="24" t="inlineStr">
        <is>
          <t>Noxus;Spirit</t>
        </is>
      </c>
      <c r="J456" s="25" t="inlineStr">
        <is>
          <t>[ACCELERATE] (You may pay 1 and Chaos as an additional cost to have me enter ready.)
I have [ASSAULT] equal to the number of enemy units here. (+1 Might while I'm an attacker for each instance of Assault.)</t>
        </is>
      </c>
    </row>
    <row r="457" ht="15" customHeight="1">
      <c r="A457" s="24" t="inlineStr">
        <is>
          <t>SFD-132</t>
        </is>
      </c>
      <c r="B457" s="24" t="inlineStr"/>
      <c r="C457" s="24" t="inlineStr">
        <is>
          <t>Beast Below</t>
        </is>
      </c>
      <c r="D457" s="24" t="inlineStr">
        <is>
          <t>Chaos</t>
        </is>
      </c>
      <c r="E457" s="24" t="inlineStr">
        <is>
          <t>Unit</t>
        </is>
      </c>
      <c r="F457" s="24" t="inlineStr">
        <is>
          <t>7</t>
        </is>
      </c>
      <c r="G457" s="24" t="inlineStr">
        <is>
          <t>8</t>
        </is>
      </c>
      <c r="H457" s="24" t="inlineStr">
        <is>
          <t>Uncommon</t>
        </is>
      </c>
      <c r="I457" s="24" t="inlineStr">
        <is>
          <t>Bilgewater</t>
        </is>
      </c>
      <c r="J457" s="25" t="inlineStr">
        <is>
          <t>When you play me, return another friendly unit and an enemy unit to their owners' hands.</t>
        </is>
      </c>
    </row>
    <row r="458" ht="15" customHeight="1">
      <c r="A458" s="24" t="inlineStr">
        <is>
          <t>SFD-133</t>
        </is>
      </c>
      <c r="B458" s="24" t="inlineStr"/>
      <c r="C458" s="24" t="inlineStr">
        <is>
          <t>Boots of Swiftness</t>
        </is>
      </c>
      <c r="D458" s="24" t="inlineStr">
        <is>
          <t>Chaos</t>
        </is>
      </c>
      <c r="E458" s="24" t="inlineStr">
        <is>
          <t>Gear</t>
        </is>
      </c>
      <c r="F458" s="24" t="inlineStr">
        <is>
          <t>3</t>
        </is>
      </c>
      <c r="G458" s="24" t="inlineStr">
        <is>
          <t>2</t>
        </is>
      </c>
      <c r="H458" s="24" t="inlineStr">
        <is>
          <t>Uncommon</t>
        </is>
      </c>
      <c r="I458" s="24" t="inlineStr">
        <is>
          <t>Equipment</t>
        </is>
      </c>
      <c r="J458" s="25" t="inlineStr">
        <is>
          <t>[EQUIP Chaos]  (Chaos: Attach this to a unit you control.)
[GANKING] (I can move from battlefield to battlefield)</t>
        </is>
      </c>
    </row>
    <row r="459" ht="15" customHeight="1">
      <c r="A459" s="55" t="inlineStr">
        <is>
          <t>SFD-134</t>
        </is>
      </c>
      <c r="B459" s="55" t="n">
        <v>1</v>
      </c>
      <c r="C459" s="55" t="inlineStr">
        <is>
          <t>Cull</t>
        </is>
      </c>
      <c r="D459" s="55" t="inlineStr">
        <is>
          <t>Chaos</t>
        </is>
      </c>
      <c r="E459" s="55" t="inlineStr">
        <is>
          <t>Gear</t>
        </is>
      </c>
      <c r="F459" s="55" t="inlineStr">
        <is>
          <t>1</t>
        </is>
      </c>
      <c r="G459" s="55" t="inlineStr"/>
      <c r="H459" s="55" t="inlineStr">
        <is>
          <t>Uncommon</t>
        </is>
      </c>
      <c r="I459" s="55" t="inlineStr">
        <is>
          <t>Equipment</t>
        </is>
      </c>
      <c r="J459" s="11" t="inlineStr">
        <is>
          <t>[EQUIP Chaos] (Chaos: Attach this to a unit you control.)
When I conquer play a Gold gear token exhausted.
Might +1</t>
        </is>
      </c>
    </row>
    <row r="460" ht="15" customHeight="1">
      <c r="A460" s="55" t="inlineStr">
        <is>
          <t>SFD-135</t>
        </is>
      </c>
      <c r="B460" s="55" t="n">
        <v>1</v>
      </c>
      <c r="C460" s="55" t="inlineStr">
        <is>
          <t>Factory Recall</t>
        </is>
      </c>
      <c r="D460" s="55" t="inlineStr">
        <is>
          <t>Chaos</t>
        </is>
      </c>
      <c r="E460" s="55" t="inlineStr">
        <is>
          <t>Spell</t>
        </is>
      </c>
      <c r="F460" s="55" t="inlineStr">
        <is>
          <t>1</t>
        </is>
      </c>
      <c r="G460" s="55" t="inlineStr"/>
      <c r="H460" s="55" t="inlineStr">
        <is>
          <t>Uncommon</t>
        </is>
      </c>
      <c r="I460" s="55" t="inlineStr"/>
      <c r="J460" s="11" t="inlineStr">
        <is>
          <t>[ACTION] (Play on your turn or in showdowns)
Return a gear to its owner's hand.</t>
        </is>
      </c>
    </row>
    <row r="461" ht="15" customHeight="1">
      <c r="A461" s="55" t="inlineStr">
        <is>
          <t>SFD-136</t>
        </is>
      </c>
      <c r="B461" s="55" t="n">
        <v>1</v>
      </c>
      <c r="C461" s="55" t="inlineStr">
        <is>
          <t>Hard Bargain</t>
        </is>
      </c>
      <c r="D461" s="55" t="inlineStr">
        <is>
          <t>Chaos</t>
        </is>
      </c>
      <c r="E461" s="55" t="inlineStr">
        <is>
          <t>Spell</t>
        </is>
      </c>
      <c r="F461" s="55" t="inlineStr">
        <is>
          <t>2</t>
        </is>
      </c>
      <c r="G461" s="55" t="inlineStr"/>
      <c r="H461" s="55" t="inlineStr">
        <is>
          <t>Uncommon</t>
        </is>
      </c>
      <c r="I461" s="55" t="inlineStr"/>
      <c r="J461" s="11" t="inlineStr">
        <is>
          <t>[REACTION] (Play any time, even before spells and abilities resolve.)
[REPEAT 2] (You may pay the additional cost to repeat this spell's effect.)
Counter a spell unless its controller pays 2.</t>
        </is>
      </c>
    </row>
    <row r="462" ht="15" customHeight="1">
      <c r="A462" s="55" t="inlineStr">
        <is>
          <t>SFD-137</t>
        </is>
      </c>
      <c r="B462" s="55" t="n">
        <v>3</v>
      </c>
      <c r="C462" s="55" t="inlineStr">
        <is>
          <t>Harpoon Squad</t>
        </is>
      </c>
      <c r="D462" s="55" t="inlineStr">
        <is>
          <t>Chaos</t>
        </is>
      </c>
      <c r="E462" s="55" t="inlineStr">
        <is>
          <t>Unit</t>
        </is>
      </c>
      <c r="F462" s="55" t="inlineStr">
        <is>
          <t>4</t>
        </is>
      </c>
      <c r="G462" s="55" t="inlineStr">
        <is>
          <t>4</t>
        </is>
      </c>
      <c r="H462" s="55" t="inlineStr">
        <is>
          <t>Uncommon</t>
        </is>
      </c>
      <c r="I462" s="55" t="inlineStr">
        <is>
          <t>Bilgewater;Pirate</t>
        </is>
      </c>
      <c r="J462" s="11" t="inlineStr">
        <is>
          <t>When I move from a battlefield, give me +2 might this turn.</t>
        </is>
      </c>
    </row>
    <row r="463" ht="15" customHeight="1">
      <c r="A463" s="24" t="inlineStr">
        <is>
          <t>SFD-138</t>
        </is>
      </c>
      <c r="B463" s="24" t="inlineStr"/>
      <c r="C463" s="24" t="inlineStr">
        <is>
          <t>Windsinger</t>
        </is>
      </c>
      <c r="D463" s="24" t="inlineStr">
        <is>
          <t>Chaos</t>
        </is>
      </c>
      <c r="E463" s="24" t="inlineStr">
        <is>
          <t>Unit</t>
        </is>
      </c>
      <c r="F463" s="24" t="inlineStr">
        <is>
          <t>2</t>
        </is>
      </c>
      <c r="G463" s="24" t="inlineStr">
        <is>
          <t>1</t>
        </is>
      </c>
      <c r="H463" s="24" t="inlineStr">
        <is>
          <t>Uncommon</t>
        </is>
      </c>
      <c r="I463" s="24" t="inlineStr">
        <is>
          <t>Ionia</t>
        </is>
      </c>
      <c r="J463" s="25" t="inlineStr">
        <is>
          <t>[HIDDEN]  (Hide now for 1 Rune to reach later for 0.)
When you play me, you may return another unit at a battlefield with 3 Might or less to its owner's hand.</t>
        </is>
      </c>
    </row>
    <row r="464" ht="15" customHeight="1">
      <c r="A464" s="55" t="inlineStr">
        <is>
          <t>SFD-139</t>
        </is>
      </c>
      <c r="B464" s="55" t="n">
        <v>1</v>
      </c>
      <c r="C464" s="55" t="inlineStr">
        <is>
          <t>Edge of Night</t>
        </is>
      </c>
      <c r="D464" s="55" t="inlineStr">
        <is>
          <t>Chaos</t>
        </is>
      </c>
      <c r="E464" s="55" t="inlineStr">
        <is>
          <t>Gear</t>
        </is>
      </c>
      <c r="F464" s="55" t="inlineStr">
        <is>
          <t>3</t>
        </is>
      </c>
      <c r="G464" s="55" t="inlineStr"/>
      <c r="H464" s="55" t="inlineStr">
        <is>
          <t>Rare</t>
        </is>
      </c>
      <c r="I464" s="55" t="inlineStr">
        <is>
          <t>Equipment</t>
        </is>
      </c>
      <c r="J464" s="11" t="inlineStr">
        <is>
          <t>[HIDDEN] (Hide now for 1 Rune to react with later for 0.)
When you play this from face down, attach it to a unit you control here.
[Equip Chaos] (Chaos: Attach this to a unit you control.)
+2 Might</t>
        </is>
      </c>
    </row>
    <row r="465" ht="15" customHeight="1">
      <c r="A465" s="24" t="inlineStr">
        <is>
          <t>SFD-140</t>
        </is>
      </c>
      <c r="B465" s="24" t="inlineStr"/>
      <c r="C465" s="24" t="inlineStr">
        <is>
          <t>Fizz - Trickster</t>
        </is>
      </c>
      <c r="D465" s="24" t="inlineStr">
        <is>
          <t>Chaos</t>
        </is>
      </c>
      <c r="E465" s="24" t="inlineStr">
        <is>
          <t>Champion Unit</t>
        </is>
      </c>
      <c r="F465" s="24" t="inlineStr">
        <is>
          <t>3</t>
        </is>
      </c>
      <c r="G465" s="24" t="inlineStr">
        <is>
          <t>3</t>
        </is>
      </c>
      <c r="H465" s="24" t="inlineStr">
        <is>
          <t>Rare</t>
        </is>
      </c>
      <c r="I465" s="24" t="inlineStr">
        <is>
          <t>Bilgewater;Yordle;Fizz</t>
        </is>
      </c>
      <c r="J465" s="25" t="inlineStr">
        <is>
          <t>When you play me, you may play a spell from your trash with Energy cost no more than 3, ignoring its Energy cost. Recycle that spell after you play it. (You must still pay its Power cost.)</t>
        </is>
      </c>
    </row>
    <row r="466" ht="15" customHeight="1">
      <c r="A466" s="55" t="inlineStr">
        <is>
          <t>SFD-141</t>
        </is>
      </c>
      <c r="B466" s="55" t="n">
        <v>1</v>
      </c>
      <c r="C466" s="55" t="inlineStr">
        <is>
          <t>Irelia - Graceful</t>
        </is>
      </c>
      <c r="D466" s="55" t="inlineStr">
        <is>
          <t>Chaos</t>
        </is>
      </c>
      <c r="E466" s="55" t="inlineStr">
        <is>
          <t>Champion Unit</t>
        </is>
      </c>
      <c r="F466" s="55" t="inlineStr">
        <is>
          <t>4</t>
        </is>
      </c>
      <c r="G466" s="55" t="inlineStr">
        <is>
          <t>4</t>
        </is>
      </c>
      <c r="H466" s="55" t="inlineStr">
        <is>
          <t>Showcase</t>
        </is>
      </c>
      <c r="I466" s="55" t="inlineStr">
        <is>
          <t>Ionia;Irelia</t>
        </is>
      </c>
      <c r="J466" s="11" t="inlineStr">
        <is>
          <t>Your spells that choose me cost 1 or Rune less.</t>
        </is>
      </c>
    </row>
    <row r="467" ht="15" customHeight="1">
      <c r="A467" s="24" t="inlineStr">
        <is>
          <t>SFD-142</t>
        </is>
      </c>
      <c r="B467" s="24" t="inlineStr"/>
      <c r="C467" s="24" t="inlineStr">
        <is>
          <t>Jae Medarda</t>
        </is>
      </c>
      <c r="D467" s="24" t="inlineStr">
        <is>
          <t>Chaos</t>
        </is>
      </c>
      <c r="E467" s="24" t="inlineStr">
        <is>
          <t>Unit</t>
        </is>
      </c>
      <c r="F467" s="24" t="inlineStr">
        <is>
          <t>5</t>
        </is>
      </c>
      <c r="G467" s="24" t="inlineStr">
        <is>
          <t>5</t>
        </is>
      </c>
      <c r="H467" s="24" t="inlineStr">
        <is>
          <t>Rare</t>
        </is>
      </c>
      <c r="I467" s="24" t="inlineStr">
        <is>
          <t>Noxus</t>
        </is>
      </c>
      <c r="J467" s="25" t="inlineStr">
        <is>
          <t>When you choose me with a spell, draw 1.</t>
        </is>
      </c>
    </row>
    <row r="468" ht="15" customHeight="1">
      <c r="A468" s="55" t="inlineStr">
        <is>
          <t>SFD-143</t>
        </is>
      </c>
      <c r="B468" s="55" t="n">
        <v>1</v>
      </c>
      <c r="C468" s="55" t="inlineStr">
        <is>
          <t>Sivir - Mercenary</t>
        </is>
      </c>
      <c r="D468" s="55" t="inlineStr">
        <is>
          <t>Chaos</t>
        </is>
      </c>
      <c r="E468" s="55" t="inlineStr">
        <is>
          <t>Champion Unit</t>
        </is>
      </c>
      <c r="F468" s="55" t="inlineStr">
        <is>
          <t>4</t>
        </is>
      </c>
      <c r="G468" s="55" t="inlineStr">
        <is>
          <t>4</t>
        </is>
      </c>
      <c r="H468" s="55" t="inlineStr">
        <is>
          <t>Rare</t>
        </is>
      </c>
      <c r="I468" s="55" t="inlineStr">
        <is>
          <t>Shurima;Sivir</t>
        </is>
      </c>
      <c r="J468" s="11" t="inlineStr">
        <is>
          <t>[ACCELERATE] (You may pay 1, Chaos as an additional cost to have me enter ready.) If you've spent at least 2 Runes this turn, I have +2 Might and [GANKING]. (I can move from battlefield to battlefield.)</t>
        </is>
      </c>
    </row>
    <row r="469" ht="15" customHeight="1">
      <c r="A469" s="55" t="inlineStr">
        <is>
          <t>SFD-144</t>
        </is>
      </c>
      <c r="B469" s="55" t="n">
        <v>1</v>
      </c>
      <c r="C469" s="55" t="inlineStr">
        <is>
          <t>Spirit Wheel</t>
        </is>
      </c>
      <c r="D469" s="55" t="inlineStr">
        <is>
          <t>Chaos</t>
        </is>
      </c>
      <c r="E469" s="55" t="inlineStr">
        <is>
          <t>Gear</t>
        </is>
      </c>
      <c r="F469" s="55" t="inlineStr">
        <is>
          <t>2</t>
        </is>
      </c>
      <c r="G469" s="55" t="inlineStr"/>
      <c r="H469" s="55" t="inlineStr">
        <is>
          <t>Rare</t>
        </is>
      </c>
      <c r="I469" s="55" t="inlineStr"/>
      <c r="J469" s="11" t="inlineStr">
        <is>
          <t>When you choose a friendly unit, you may pay 1 and exhaust this to draw 1.</t>
        </is>
      </c>
    </row>
    <row r="470" ht="15" customHeight="1">
      <c r="A470" s="24" t="inlineStr">
        <is>
          <t>SFD-145</t>
        </is>
      </c>
      <c r="B470" s="24" t="inlineStr"/>
      <c r="C470" s="24" t="inlineStr">
        <is>
          <t>Switcheroo</t>
        </is>
      </c>
      <c r="D470" s="24" t="inlineStr">
        <is>
          <t>Chaos</t>
        </is>
      </c>
      <c r="E470" s="24" t="inlineStr">
        <is>
          <t>Spell</t>
        </is>
      </c>
      <c r="F470" s="24" t="inlineStr">
        <is>
          <t>2</t>
        </is>
      </c>
      <c r="G470" s="24" t="inlineStr"/>
      <c r="H470" s="24" t="inlineStr">
        <is>
          <t>Rare</t>
        </is>
      </c>
      <c r="I470" s="24" t="inlineStr"/>
      <c r="J470" s="25" t="inlineStr">
        <is>
          <t>[HIDDEN] (Hide now for 1 Rune to reach later for 0.) [ACTION] {Play on your turn or in showdowns.) Swap the Might of two units at the same battlefield this turn.</t>
        </is>
      </c>
    </row>
    <row r="471" ht="15" customHeight="1">
      <c r="A471" s="24" t="inlineStr">
        <is>
          <t>SFD-146</t>
        </is>
      </c>
      <c r="B471" s="24" t="inlineStr"/>
      <c r="C471" s="24" t="inlineStr">
        <is>
          <t>Vex - Cheerless</t>
        </is>
      </c>
      <c r="D471" s="24" t="inlineStr">
        <is>
          <t>Chaos</t>
        </is>
      </c>
      <c r="E471" s="24" t="inlineStr">
        <is>
          <t>Champion Unit</t>
        </is>
      </c>
      <c r="F471" s="24" t="inlineStr">
        <is>
          <t>5</t>
        </is>
      </c>
      <c r="G471" s="24" t="inlineStr">
        <is>
          <t>5</t>
        </is>
      </c>
      <c r="H471" s="24" t="inlineStr">
        <is>
          <t>Rare</t>
        </is>
      </c>
      <c r="I471" s="24" t="inlineStr">
        <is>
          <t>Shadow Isles;Yordle;Vex</t>
        </is>
      </c>
      <c r="J471" s="25" t="inlineStr">
        <is>
          <t>While I'm in combat, friendly spells cost 1 Rune less to a minium of 1, and enemy spells cost 1 Rune more.</t>
        </is>
      </c>
    </row>
    <row r="472" ht="15" customHeight="1">
      <c r="A472" s="24" t="inlineStr">
        <is>
          <t>SFD-147</t>
        </is>
      </c>
      <c r="B472" s="24" t="inlineStr"/>
      <c r="C472" s="24" t="inlineStr">
        <is>
          <t>Downwell</t>
        </is>
      </c>
      <c r="D472" s="24" t="inlineStr">
        <is>
          <t>Chaos</t>
        </is>
      </c>
      <c r="E472" s="24" t="inlineStr">
        <is>
          <t>Spell</t>
        </is>
      </c>
      <c r="F472" s="24" t="inlineStr">
        <is>
          <t>8</t>
        </is>
      </c>
      <c r="G472" s="24" t="inlineStr"/>
      <c r="H472" s="24" t="inlineStr">
        <is>
          <t>Epic</t>
        </is>
      </c>
      <c r="I472" s="24" t="inlineStr"/>
      <c r="J472" s="25" t="inlineStr">
        <is>
          <t>Return all units and gear to their owners' hands.</t>
        </is>
      </c>
    </row>
    <row r="473" ht="15" customHeight="1">
      <c r="A473" s="24" t="inlineStr">
        <is>
          <t>SFD-148</t>
        </is>
      </c>
      <c r="B473" s="24" t="inlineStr"/>
      <c r="C473" s="24" t="inlineStr">
        <is>
          <t>Draven - Audacious</t>
        </is>
      </c>
      <c r="D473" s="24" t="inlineStr">
        <is>
          <t>Chaos</t>
        </is>
      </c>
      <c r="E473" s="24" t="inlineStr">
        <is>
          <t>Champion Unit</t>
        </is>
      </c>
      <c r="F473" s="24" t="inlineStr">
        <is>
          <t>6</t>
        </is>
      </c>
      <c r="G473" s="24" t="inlineStr">
        <is>
          <t>6</t>
        </is>
      </c>
      <c r="H473" s="24" t="inlineStr">
        <is>
          <t>Epic</t>
        </is>
      </c>
      <c r="I473" s="24" t="inlineStr">
        <is>
          <t>Noxus;Draven</t>
        </is>
      </c>
      <c r="J473" s="25" t="inlineStr">
        <is>
          <t>[DEFLECT] (Opponents must pay 1 Rune to choose me with a spell or ability.) The first time I win a combat each turn, you score 1 point. When I die in combat, choose an opponent. They score 1 point.</t>
        </is>
      </c>
    </row>
    <row r="474" ht="15" customHeight="1">
      <c r="A474" s="24" t="inlineStr">
        <is>
          <t>SFD-149</t>
        </is>
      </c>
      <c r="B474" s="24" t="inlineStr"/>
      <c r="C474" s="24" t="inlineStr">
        <is>
          <t>Ezreal - Prodigy</t>
        </is>
      </c>
      <c r="D474" s="24" t="inlineStr">
        <is>
          <t>Chaos</t>
        </is>
      </c>
      <c r="E474" s="24" t="inlineStr">
        <is>
          <t>Champion Unit</t>
        </is>
      </c>
      <c r="F474" s="24" t="inlineStr">
        <is>
          <t>3</t>
        </is>
      </c>
      <c r="G474" s="24" t="inlineStr">
        <is>
          <t>3</t>
        </is>
      </c>
      <c r="H474" s="24" t="inlineStr">
        <is>
          <t>Epic</t>
        </is>
      </c>
      <c r="I474" s="24" t="inlineStr">
        <is>
          <t>Piltover;Ezreal</t>
        </is>
      </c>
      <c r="J474" s="25" t="inlineStr">
        <is>
          <t>When you play me, discard 1, then draw 2. Optional additional costs you pay cost 1 or 1 Rune less.</t>
        </is>
      </c>
    </row>
    <row r="475" ht="15" customHeight="1">
      <c r="A475" s="24" t="inlineStr">
        <is>
          <t>SFD-150</t>
        </is>
      </c>
      <c r="B475" s="24" t="inlineStr"/>
      <c r="C475" s="24" t="inlineStr">
        <is>
          <t>Last Rites</t>
        </is>
      </c>
      <c r="D475" s="24" t="inlineStr">
        <is>
          <t>Chaos</t>
        </is>
      </c>
      <c r="E475" s="24" t="inlineStr">
        <is>
          <t>Gear</t>
        </is>
      </c>
      <c r="F475" s="24" t="inlineStr">
        <is>
          <t>3</t>
        </is>
      </c>
      <c r="G475" s="24" t="inlineStr">
        <is>
          <t>2</t>
        </is>
      </c>
      <c r="H475" s="24" t="inlineStr">
        <is>
          <t>Epic</t>
        </is>
      </c>
      <c r="I475" s="24" t="inlineStr">
        <is>
          <t>Equipment</t>
        </is>
      </c>
      <c r="J475" s="25" t="inlineStr">
        <is>
          <t>[EQUIP] — Chaos, Recycle 2 cards from your trash. (Pay the cost: Attach this to a unit you control.) When I conquer or hold, you may play a unit from your trash. (You still pay its costs.)</t>
        </is>
      </c>
    </row>
    <row r="476" ht="15" customHeight="1">
      <c r="A476" s="58" t="inlineStr">
        <is>
          <t>SFD-151</t>
        </is>
      </c>
      <c r="B476" s="58" t="n">
        <v>3</v>
      </c>
      <c r="C476" s="58" t="inlineStr">
        <is>
          <t>Bonds of Strength</t>
        </is>
      </c>
      <c r="D476" s="58" t="inlineStr">
        <is>
          <t>Order</t>
        </is>
      </c>
      <c r="E476" s="58" t="inlineStr">
        <is>
          <t>Spell</t>
        </is>
      </c>
      <c r="F476" s="58" t="inlineStr">
        <is>
          <t>2</t>
        </is>
      </c>
      <c r="G476" s="58" t="inlineStr"/>
      <c r="H476" s="58" t="inlineStr">
        <is>
          <t>Uncommon</t>
        </is>
      </c>
      <c r="I476" s="58" t="inlineStr"/>
      <c r="J476" s="13" t="inlineStr">
        <is>
          <t>[REACTION] (Play any time, even before spells and abilities resolve.)
[REPEAT 2] (You may pay the additional cost to repeat this spell's effect.)
Give two friendly units each +1 Might this turn.</t>
        </is>
      </c>
    </row>
    <row r="477" ht="15" customHeight="1">
      <c r="A477" s="58" t="inlineStr">
        <is>
          <t>SFD-152</t>
        </is>
      </c>
      <c r="B477" s="58" t="n">
        <v>2</v>
      </c>
      <c r="C477" s="58" t="inlineStr">
        <is>
          <t>Eminent Benefactor</t>
        </is>
      </c>
      <c r="D477" s="58" t="inlineStr">
        <is>
          <t>Order</t>
        </is>
      </c>
      <c r="E477" s="58" t="inlineStr">
        <is>
          <t>Unit</t>
        </is>
      </c>
      <c r="F477" s="58" t="inlineStr">
        <is>
          <t>6</t>
        </is>
      </c>
      <c r="G477" s="58" t="inlineStr">
        <is>
          <t>5</t>
        </is>
      </c>
      <c r="H477" s="58" t="inlineStr">
        <is>
          <t>Common</t>
        </is>
      </c>
      <c r="I477" s="58" t="inlineStr">
        <is>
          <t>Piltover</t>
        </is>
      </c>
      <c r="J477" s="13" t="inlineStr">
        <is>
          <t>When I hold, play two Gold gear tokens exhausted.</t>
        </is>
      </c>
    </row>
    <row r="478" ht="15" customHeight="1">
      <c r="A478" s="58" t="inlineStr">
        <is>
          <t>SFD-153</t>
        </is>
      </c>
      <c r="B478" s="58" t="n">
        <v>3</v>
      </c>
      <c r="C478" s="58" t="inlineStr">
        <is>
          <t>Eye of the Herald</t>
        </is>
      </c>
      <c r="D478" s="58" t="inlineStr">
        <is>
          <t>Order</t>
        </is>
      </c>
      <c r="E478" s="58" t="inlineStr">
        <is>
          <t>Gear</t>
        </is>
      </c>
      <c r="F478" s="58" t="inlineStr">
        <is>
          <t>1</t>
        </is>
      </c>
      <c r="G478" s="58" t="inlineStr"/>
      <c r="H478" s="58" t="inlineStr">
        <is>
          <t>Common</t>
        </is>
      </c>
      <c r="I478" s="58" t="inlineStr">
        <is>
          <t>Equipment</t>
        </is>
      </c>
      <c r="J478" s="13" t="inlineStr">
        <is>
          <t>[EQUIP Order] (Order: Attach this to a unit you control.)
When I move, play a 1 Might Recruit unit token here.</t>
        </is>
      </c>
    </row>
    <row r="479" ht="15" customHeight="1">
      <c r="A479" s="58" t="inlineStr">
        <is>
          <t>SFD-154</t>
        </is>
      </c>
      <c r="B479" s="58" t="n">
        <v>3</v>
      </c>
      <c r="C479" s="58" t="inlineStr">
        <is>
          <t>Guards!</t>
        </is>
      </c>
      <c r="D479" s="58" t="inlineStr">
        <is>
          <t>Order</t>
        </is>
      </c>
      <c r="E479" s="58" t="inlineStr">
        <is>
          <t>Spell</t>
        </is>
      </c>
      <c r="F479" s="58" t="inlineStr">
        <is>
          <t>3</t>
        </is>
      </c>
      <c r="G479" s="58" t="inlineStr"/>
      <c r="H479" s="58" t="inlineStr">
        <is>
          <t>Common</t>
        </is>
      </c>
      <c r="I479" s="58" t="inlineStr"/>
      <c r="J479" s="13" t="inlineStr">
        <is>
          <t>[HIDDEN] (Hide now for Rune to react with later for 0.)
Play a 2 Might Sand Soldier unit token. You may pay Order to ready it.</t>
        </is>
      </c>
    </row>
    <row r="480" ht="15" customHeight="1">
      <c r="A480" s="58" t="inlineStr">
        <is>
          <t>SFD-155</t>
        </is>
      </c>
      <c r="B480" s="58" t="n">
        <v>2</v>
      </c>
      <c r="C480" s="58" t="inlineStr">
        <is>
          <t>Honest Broker</t>
        </is>
      </c>
      <c r="D480" s="58" t="inlineStr">
        <is>
          <t>Order</t>
        </is>
      </c>
      <c r="E480" s="58" t="inlineStr">
        <is>
          <t>Unit</t>
        </is>
      </c>
      <c r="F480" s="58" t="inlineStr">
        <is>
          <t>2</t>
        </is>
      </c>
      <c r="G480" s="58" t="inlineStr">
        <is>
          <t>2</t>
        </is>
      </c>
      <c r="H480" s="58" t="inlineStr">
        <is>
          <t>Common</t>
        </is>
      </c>
      <c r="I480" s="58" t="inlineStr">
        <is>
          <t>Ionia</t>
        </is>
      </c>
      <c r="J480" s="13" t="inlineStr">
        <is>
          <t>[DEATHKNELL] — Play a gold gear token exhausted. (When I die, get the effect.)</t>
        </is>
      </c>
    </row>
    <row r="481" ht="15" customHeight="1">
      <c r="A481" s="58" t="inlineStr">
        <is>
          <t>SFD-156</t>
        </is>
      </c>
      <c r="B481" s="58" t="n">
        <v>3</v>
      </c>
      <c r="C481" s="58" t="inlineStr">
        <is>
          <t>Laurent Duelist</t>
        </is>
      </c>
      <c r="D481" s="58" t="inlineStr">
        <is>
          <t>Order</t>
        </is>
      </c>
      <c r="E481" s="58" t="inlineStr">
        <is>
          <t>Unit</t>
        </is>
      </c>
      <c r="F481" s="58" t="inlineStr">
        <is>
          <t>4</t>
        </is>
      </c>
      <c r="G481" s="58" t="inlineStr">
        <is>
          <t>3</t>
        </is>
      </c>
      <c r="H481" s="58" t="inlineStr">
        <is>
          <t>Common</t>
        </is>
      </c>
      <c r="I481" s="58" t="inlineStr">
        <is>
          <t>Demacia</t>
        </is>
      </c>
      <c r="J481" s="13" t="inlineStr">
        <is>
          <t>[ASSAULT 2] (+2 Might while I'm an attacker.)</t>
        </is>
      </c>
    </row>
    <row r="482" ht="15" customHeight="1">
      <c r="A482" s="58" t="inlineStr">
        <is>
          <t>SFD-157</t>
        </is>
      </c>
      <c r="B482" s="58" t="n">
        <v>3</v>
      </c>
      <c r="C482" s="58" t="inlineStr">
        <is>
          <t>Royal Guard</t>
        </is>
      </c>
      <c r="D482" s="58" t="inlineStr">
        <is>
          <t>Order</t>
        </is>
      </c>
      <c r="E482" s="58" t="inlineStr">
        <is>
          <t>Unit</t>
        </is>
      </c>
      <c r="F482" s="58" t="inlineStr">
        <is>
          <t>4</t>
        </is>
      </c>
      <c r="G482" s="58" t="inlineStr">
        <is>
          <t>2</t>
        </is>
      </c>
      <c r="H482" s="58" t="inlineStr">
        <is>
          <t>Uncommon</t>
        </is>
      </c>
      <c r="I482" s="58" t="inlineStr">
        <is>
          <t>Shurima</t>
        </is>
      </c>
      <c r="J482" s="13" t="inlineStr">
        <is>
          <t>When you play me, play a 2 Might Sand Soldier unit token here.</t>
        </is>
      </c>
    </row>
    <row r="483" ht="15" customHeight="1">
      <c r="A483" s="58" t="inlineStr">
        <is>
          <t>SFD-158</t>
        </is>
      </c>
      <c r="B483" s="58" t="n">
        <v>3</v>
      </c>
      <c r="C483" s="58" t="inlineStr">
        <is>
          <t>Sandshifter</t>
        </is>
      </c>
      <c r="D483" s="58" t="inlineStr">
        <is>
          <t>Order</t>
        </is>
      </c>
      <c r="E483" s="58" t="inlineStr">
        <is>
          <t>Unit</t>
        </is>
      </c>
      <c r="F483" s="58" t="inlineStr">
        <is>
          <t>5</t>
        </is>
      </c>
      <c r="G483" s="58" t="inlineStr">
        <is>
          <t>6</t>
        </is>
      </c>
      <c r="H483" s="58" t="inlineStr">
        <is>
          <t>Common</t>
        </is>
      </c>
      <c r="I483" s="58" t="inlineStr">
        <is>
          <t>Shurima</t>
        </is>
      </c>
      <c r="J483" s="13" t="inlineStr">
        <is>
          <t>When you play me, kill an enemy unit with 3 Might or less.</t>
        </is>
      </c>
    </row>
    <row r="484" ht="15" customHeight="1">
      <c r="A484" s="58" t="inlineStr">
        <is>
          <t>SFD-159</t>
        </is>
      </c>
      <c r="B484" s="58" t="n">
        <v>3</v>
      </c>
      <c r="C484" s="58" t="inlineStr">
        <is>
          <t>Trusty Ramhound</t>
        </is>
      </c>
      <c r="D484" s="58" t="inlineStr">
        <is>
          <t>Order</t>
        </is>
      </c>
      <c r="E484" s="58" t="inlineStr">
        <is>
          <t>Unit</t>
        </is>
      </c>
      <c r="F484" s="58" t="inlineStr">
        <is>
          <t>2</t>
        </is>
      </c>
      <c r="G484" s="58" t="inlineStr">
        <is>
          <t>2</t>
        </is>
      </c>
      <c r="H484" s="58" t="inlineStr">
        <is>
          <t>Common</t>
        </is>
      </c>
      <c r="I484" s="58" t="inlineStr">
        <is>
          <t>Demacia;Elite;Dog</t>
        </is>
      </c>
      <c r="J484" s="13" t="inlineStr">
        <is>
          <t>While you have another unit here, I have +1 Might.</t>
        </is>
      </c>
    </row>
    <row r="485" ht="15" customHeight="1">
      <c r="A485" s="58" t="inlineStr">
        <is>
          <t>SFD-160</t>
        </is>
      </c>
      <c r="B485" s="58" t="n">
        <v>3</v>
      </c>
      <c r="C485" s="58" t="inlineStr">
        <is>
          <t>Zaun Punk</t>
        </is>
      </c>
      <c r="D485" s="58" t="inlineStr">
        <is>
          <t>Order</t>
        </is>
      </c>
      <c r="E485" s="58" t="inlineStr">
        <is>
          <t>Unit</t>
        </is>
      </c>
      <c r="F485" s="58" t="inlineStr">
        <is>
          <t>3</t>
        </is>
      </c>
      <c r="G485" s="58" t="inlineStr">
        <is>
          <t>3</t>
        </is>
      </c>
      <c r="H485" s="58" t="inlineStr">
        <is>
          <t>Common</t>
        </is>
      </c>
      <c r="I485" s="58" t="inlineStr">
        <is>
          <t>Zaun</t>
        </is>
      </c>
      <c r="J485" s="13" t="inlineStr">
        <is>
          <t>You may kill a friendly gear as an additional cost to play me.
When you play me, if you paid the additional cost, kill a gear.</t>
        </is>
      </c>
    </row>
    <row r="486" ht="15" customHeight="1">
      <c r="A486" s="58" t="inlineStr">
        <is>
          <t>SFD-161</t>
        </is>
      </c>
      <c r="B486" s="58" t="n">
        <v>3</v>
      </c>
      <c r="C486" s="58" t="inlineStr">
        <is>
          <t>B.F. Sword</t>
        </is>
      </c>
      <c r="D486" s="58" t="inlineStr">
        <is>
          <t>Order</t>
        </is>
      </c>
      <c r="E486" s="58" t="inlineStr">
        <is>
          <t>Gear</t>
        </is>
      </c>
      <c r="F486" s="58" t="inlineStr">
        <is>
          <t>4</t>
        </is>
      </c>
      <c r="G486" s="58" t="inlineStr">
        <is>
          <t>0</t>
        </is>
      </c>
      <c r="H486" s="58" t="inlineStr">
        <is>
          <t>Uncommon</t>
        </is>
      </c>
      <c r="I486" s="58" t="inlineStr">
        <is>
          <t>Equipment</t>
        </is>
      </c>
      <c r="J486" s="13" t="inlineStr">
        <is>
          <t>[EQUIP Order] (Order: Attach this to a unit you control.)
+3 Might</t>
        </is>
      </c>
    </row>
    <row r="487" ht="15" customHeight="1">
      <c r="A487" s="58" t="inlineStr">
        <is>
          <t>SFD-162</t>
        </is>
      </c>
      <c r="B487" s="58" t="n">
        <v>3</v>
      </c>
      <c r="C487" s="58" t="inlineStr">
        <is>
          <t>Blood Money</t>
        </is>
      </c>
      <c r="D487" s="58" t="inlineStr">
        <is>
          <t>Order</t>
        </is>
      </c>
      <c r="E487" s="58" t="inlineStr">
        <is>
          <t>Spell</t>
        </is>
      </c>
      <c r="F487" s="58" t="inlineStr">
        <is>
          <t>2</t>
        </is>
      </c>
      <c r="G487" s="58" t="inlineStr"/>
      <c r="H487" s="58" t="inlineStr">
        <is>
          <t>Uncommon</t>
        </is>
      </c>
      <c r="I487" s="58" t="inlineStr"/>
      <c r="J487" s="13" t="inlineStr">
        <is>
          <t>[ACTION] (Play on your turn or in showdowns.)
Kill a unit at a battlefield with 2 Might or less. If it was an enemy unit, play a Gold gear token exhausted. If it was a friendly unit, play two BGold gear tokens exhausted.</t>
        </is>
      </c>
    </row>
    <row r="488" ht="15" customHeight="1">
      <c r="A488" s="58" t="inlineStr">
        <is>
          <t>SFD-163</t>
        </is>
      </c>
      <c r="B488" s="58" t="n">
        <v>2</v>
      </c>
      <c r="C488" s="58" t="inlineStr">
        <is>
          <t>Deathgrip</t>
        </is>
      </c>
      <c r="D488" s="58" t="inlineStr">
        <is>
          <t>Order</t>
        </is>
      </c>
      <c r="E488" s="58" t="inlineStr">
        <is>
          <t>Spell</t>
        </is>
      </c>
      <c r="F488" s="58" t="inlineStr">
        <is>
          <t>2</t>
        </is>
      </c>
      <c r="G488" s="58" t="inlineStr"/>
      <c r="H488" s="58" t="inlineStr">
        <is>
          <t>Uncommon</t>
        </is>
      </c>
      <c r="I488" s="58" t="inlineStr"/>
      <c r="J488" s="13" t="inlineStr">
        <is>
          <t>[REACTION] (Play any time, even before spells and abilities resolve)
Kill a friendly unit to give +Might equal to its Might to another friendly unit this turn. Draw 1.</t>
        </is>
      </c>
    </row>
    <row r="489" ht="15" customHeight="1">
      <c r="A489" s="58" t="inlineStr">
        <is>
          <t>SFD-164</t>
        </is>
      </c>
      <c r="B489" s="58" t="n">
        <v>1</v>
      </c>
      <c r="C489" s="58" t="inlineStr">
        <is>
          <t>Drag Under</t>
        </is>
      </c>
      <c r="D489" s="58" t="inlineStr">
        <is>
          <t>Order</t>
        </is>
      </c>
      <c r="E489" s="58" t="inlineStr">
        <is>
          <t>Spell</t>
        </is>
      </c>
      <c r="F489" s="58" t="inlineStr">
        <is>
          <t>5</t>
        </is>
      </c>
      <c r="G489" s="58" t="inlineStr"/>
      <c r="H489" s="58" t="inlineStr">
        <is>
          <t>Uncommon</t>
        </is>
      </c>
      <c r="I489" s="58" t="inlineStr"/>
      <c r="J489" s="13" t="inlineStr">
        <is>
          <t>[Action] (Play on your turn or in showdowns.)
I cost  less to play from anywhere other than your hand.
Kill a unit at a battlefield.</t>
        </is>
      </c>
    </row>
    <row r="490" ht="15" customHeight="1">
      <c r="A490" s="26" t="inlineStr">
        <is>
          <t>SFD-165</t>
        </is>
      </c>
      <c r="B490" s="26" t="inlineStr"/>
      <c r="C490" s="26" t="inlineStr">
        <is>
          <t>Glasc Mixologist</t>
        </is>
      </c>
      <c r="D490" s="26" t="inlineStr">
        <is>
          <t>Order</t>
        </is>
      </c>
      <c r="E490" s="26" t="inlineStr">
        <is>
          <t>Unit</t>
        </is>
      </c>
      <c r="F490" s="26" t="inlineStr">
        <is>
          <t>5</t>
        </is>
      </c>
      <c r="G490" s="26" t="inlineStr">
        <is>
          <t>5</t>
        </is>
      </c>
      <c r="H490" s="26" t="inlineStr">
        <is>
          <t>Uncommon</t>
        </is>
      </c>
      <c r="I490" s="26" t="inlineStr">
        <is>
          <t>Zaun</t>
        </is>
      </c>
      <c r="J490" s="27" t="inlineStr">
        <is>
          <t>[DEATHKNELL] — You may play a unit with cost no more than 3 and no more than  from your trash, ignoring its cost. (When I die, get the effect.)</t>
        </is>
      </c>
    </row>
    <row r="491" ht="15" customHeight="1">
      <c r="A491" s="58" t="inlineStr">
        <is>
          <t>SFD-166</t>
        </is>
      </c>
      <c r="B491" s="58" t="n">
        <v>1</v>
      </c>
      <c r="C491" s="58" t="inlineStr">
        <is>
          <t>Rally the Troops</t>
        </is>
      </c>
      <c r="D491" s="58" t="inlineStr">
        <is>
          <t>Order</t>
        </is>
      </c>
      <c r="E491" s="58" t="inlineStr">
        <is>
          <t>Spell</t>
        </is>
      </c>
      <c r="F491" s="58" t="inlineStr">
        <is>
          <t>2</t>
        </is>
      </c>
      <c r="G491" s="58" t="inlineStr"/>
      <c r="H491" s="58" t="inlineStr">
        <is>
          <t>Uncommon</t>
        </is>
      </c>
      <c r="I491" s="58" t="inlineStr"/>
      <c r="J491" s="13" t="inlineStr">
        <is>
          <t>[ACTION] (Play on your turn or in showdowns.)
When a friendly unit is played this turn, buff it. (If it doesn't have a buff, it gets a +1 Might buff.)
Draw 1</t>
        </is>
      </c>
    </row>
    <row r="492" ht="15" customHeight="1">
      <c r="A492" s="58" t="inlineStr">
        <is>
          <t>SFD-167</t>
        </is>
      </c>
      <c r="B492" s="58" t="n">
        <v>3</v>
      </c>
      <c r="C492" s="58" t="inlineStr">
        <is>
          <t>Unsung Hero</t>
        </is>
      </c>
      <c r="D492" s="58" t="inlineStr">
        <is>
          <t>Order</t>
        </is>
      </c>
      <c r="E492" s="58" t="inlineStr">
        <is>
          <t>Unit</t>
        </is>
      </c>
      <c r="F492" s="58" t="inlineStr">
        <is>
          <t>2</t>
        </is>
      </c>
      <c r="G492" s="58" t="inlineStr">
        <is>
          <t>2</t>
        </is>
      </c>
      <c r="H492" s="58" t="inlineStr">
        <is>
          <t>Uncommon</t>
        </is>
      </c>
      <c r="I492" s="58" t="inlineStr">
        <is>
          <t>Demacia;Elite</t>
        </is>
      </c>
      <c r="J492" s="13" t="inlineStr">
        <is>
          <t>[DEATHKNELL] — If I was [MIGHTY], draw 2. (When I die, get the effect. I'm Mighty while I have 5+ Might.)</t>
        </is>
      </c>
    </row>
    <row r="493" ht="15" customHeight="1">
      <c r="A493" s="58" t="inlineStr">
        <is>
          <t>SFD-168</t>
        </is>
      </c>
      <c r="B493" s="58" t="n">
        <v>1</v>
      </c>
      <c r="C493" s="58" t="inlineStr">
        <is>
          <t>Vanguard Armory</t>
        </is>
      </c>
      <c r="D493" s="58" t="inlineStr">
        <is>
          <t>Order</t>
        </is>
      </c>
      <c r="E493" s="58" t="inlineStr">
        <is>
          <t>Gear</t>
        </is>
      </c>
      <c r="F493" s="58" t="inlineStr">
        <is>
          <t>7</t>
        </is>
      </c>
      <c r="G493" s="58" t="inlineStr"/>
      <c r="H493" s="58" t="inlineStr">
        <is>
          <t>Uncommon</t>
        </is>
      </c>
      <c r="I493" s="58" t="inlineStr"/>
      <c r="J493" s="13" t="inlineStr">
        <is>
          <t>Exhaust: Play three 1 Might Recruit unit tokens. (You may play them to different locations.)</t>
        </is>
      </c>
    </row>
    <row r="494" ht="15" customHeight="1">
      <c r="A494" s="58" t="inlineStr">
        <is>
          <t>SFD-169</t>
        </is>
      </c>
      <c r="B494" s="58" t="n">
        <v>1</v>
      </c>
      <c r="C494" s="58" t="inlineStr">
        <is>
          <t>Altar of Memories</t>
        </is>
      </c>
      <c r="D494" s="58" t="inlineStr">
        <is>
          <t>Order</t>
        </is>
      </c>
      <c r="E494" s="58" t="inlineStr">
        <is>
          <t>Gear</t>
        </is>
      </c>
      <c r="F494" s="58" t="inlineStr">
        <is>
          <t>2</t>
        </is>
      </c>
      <c r="G494" s="58" t="inlineStr">
        <is>
          <t>0</t>
        </is>
      </c>
      <c r="H494" s="58" t="inlineStr">
        <is>
          <t>Rare</t>
        </is>
      </c>
      <c r="I494" s="58" t="inlineStr"/>
      <c r="J494" s="13" t="inlineStr">
        <is>
          <t>When a friendly unit dies, you may exhaust me to draw 1, then put a card from your hand on the top or bottom of your Main Deck.</t>
        </is>
      </c>
    </row>
    <row r="495" ht="15" customHeight="1">
      <c r="A495" s="26" t="inlineStr">
        <is>
          <t>SFD-170</t>
        </is>
      </c>
      <c r="B495" s="26" t="inlineStr"/>
      <c r="C495" s="26" t="inlineStr">
        <is>
          <t>Rek'Sai - Swarm Queen</t>
        </is>
      </c>
      <c r="D495" s="26" t="inlineStr">
        <is>
          <t>Order</t>
        </is>
      </c>
      <c r="E495" s="26" t="inlineStr">
        <is>
          <t>Champion Unit</t>
        </is>
      </c>
      <c r="F495" s="26" t="inlineStr">
        <is>
          <t>5</t>
        </is>
      </c>
      <c r="G495" s="26" t="inlineStr">
        <is>
          <t>5</t>
        </is>
      </c>
      <c r="H495" s="26" t="inlineStr">
        <is>
          <t>Rare</t>
        </is>
      </c>
      <c r="I495" s="26" t="inlineStr">
        <is>
          <t>The Void;Rek'Sai</t>
        </is>
      </c>
      <c r="J495" s="27" t="inlineStr">
        <is>
          <t>When I attack, you may reveal the top 2 cards of your Main Deck. You may play one. Then recycle the rest. If the played card is a unit, you may play it here.</t>
        </is>
      </c>
    </row>
    <row r="496" ht="15" customHeight="1">
      <c r="A496" s="58" t="inlineStr">
        <is>
          <t>SFD-171</t>
        </is>
      </c>
      <c r="B496" s="58" t="n">
        <v>1</v>
      </c>
      <c r="C496" s="58" t="inlineStr">
        <is>
          <t>Renata Glasc - Industrialist</t>
        </is>
      </c>
      <c r="D496" s="58" t="inlineStr">
        <is>
          <t>Order</t>
        </is>
      </c>
      <c r="E496" s="58" t="inlineStr">
        <is>
          <t>Champion Unit</t>
        </is>
      </c>
      <c r="F496" s="58" t="inlineStr">
        <is>
          <t>4</t>
        </is>
      </c>
      <c r="G496" s="58" t="inlineStr">
        <is>
          <t>4</t>
        </is>
      </c>
      <c r="H496" s="58" t="inlineStr">
        <is>
          <t>Rare</t>
        </is>
      </c>
      <c r="I496" s="58" t="inlineStr">
        <is>
          <t>Zaun;Renata Glasc</t>
        </is>
      </c>
      <c r="J496" s="13" t="inlineStr">
        <is>
          <t>Your tokens enter ready.</t>
        </is>
      </c>
    </row>
    <row r="497" ht="15" customHeight="1">
      <c r="A497" s="58" t="inlineStr">
        <is>
          <t>SFD-172</t>
        </is>
      </c>
      <c r="B497" s="58" t="n">
        <v>1</v>
      </c>
      <c r="C497" s="58" t="inlineStr">
        <is>
          <t>Sacred Shears</t>
        </is>
      </c>
      <c r="D497" s="58" t="inlineStr">
        <is>
          <t>Order</t>
        </is>
      </c>
      <c r="E497" s="58" t="inlineStr">
        <is>
          <t>Gear</t>
        </is>
      </c>
      <c r="F497" s="58" t="inlineStr">
        <is>
          <t>2</t>
        </is>
      </c>
      <c r="G497" s="58" t="inlineStr"/>
      <c r="H497" s="58" t="inlineStr">
        <is>
          <t>Rare</t>
        </is>
      </c>
      <c r="I497" s="58" t="inlineStr">
        <is>
          <t>Equipment</t>
        </is>
      </c>
      <c r="J497" s="13" t="inlineStr">
        <is>
          <t>[EQUIP Order] (Order: Attach this to a unit you control.)
[DEATHKNELL] - Draw 1. (When I die, get the effect.)
+1 Might</t>
        </is>
      </c>
    </row>
    <row r="498" ht="15" customHeight="1">
      <c r="A498" s="26" t="inlineStr">
        <is>
          <t>SFD-173</t>
        </is>
      </c>
      <c r="B498" s="26" t="inlineStr"/>
      <c r="C498" s="26" t="inlineStr">
        <is>
          <t>Soraka - Wanderer</t>
        </is>
      </c>
      <c r="D498" s="26" t="inlineStr">
        <is>
          <t>Order</t>
        </is>
      </c>
      <c r="E498" s="26" t="inlineStr">
        <is>
          <t>Champion Unit</t>
        </is>
      </c>
      <c r="F498" s="26" t="inlineStr">
        <is>
          <t>4</t>
        </is>
      </c>
      <c r="G498" s="26" t="inlineStr">
        <is>
          <t>4</t>
        </is>
      </c>
      <c r="H498" s="26" t="inlineStr">
        <is>
          <t>Rare</t>
        </is>
      </c>
      <c r="I498" s="26" t="inlineStr">
        <is>
          <t>Mount Targon;Soraka</t>
        </is>
      </c>
      <c r="J498" s="27" t="inlineStr">
        <is>
          <t>I must be assigned combat damage last. If another unit you control here would die, if it has less Might than me, instead heal it, exhaust it, and recall it. (Send it to base. This isn't a move.)</t>
        </is>
      </c>
    </row>
    <row r="499" ht="15" customHeight="1">
      <c r="A499" s="26" t="inlineStr">
        <is>
          <t>SFD-174</t>
        </is>
      </c>
      <c r="B499" s="26" t="inlineStr"/>
      <c r="C499" s="26" t="inlineStr">
        <is>
          <t>Trove Golem</t>
        </is>
      </c>
      <c r="D499" s="26" t="inlineStr">
        <is>
          <t>Order</t>
        </is>
      </c>
      <c r="E499" s="26" t="inlineStr">
        <is>
          <t>Unit</t>
        </is>
      </c>
      <c r="F499" s="26" t="inlineStr">
        <is>
          <t>8</t>
        </is>
      </c>
      <c r="G499" s="26" t="inlineStr">
        <is>
          <t>9</t>
        </is>
      </c>
      <c r="H499" s="26" t="inlineStr">
        <is>
          <t>Rare</t>
        </is>
      </c>
      <c r="I499" s="26" t="inlineStr">
        <is>
          <t>Freljord</t>
        </is>
      </c>
      <c r="J499" s="27" t="inlineStr">
        <is>
          <t>When you play me, play four Gold gear tokens exhausted.</t>
        </is>
      </c>
    </row>
    <row r="500" ht="15" customHeight="1">
      <c r="A500" s="58" t="inlineStr">
        <is>
          <t>SFD-175</t>
        </is>
      </c>
      <c r="B500" s="58" t="n">
        <v>1</v>
      </c>
      <c r="C500" s="58" t="inlineStr">
        <is>
          <t>Undertitan</t>
        </is>
      </c>
      <c r="D500" s="58" t="inlineStr">
        <is>
          <t>Order</t>
        </is>
      </c>
      <c r="E500" s="58" t="inlineStr">
        <is>
          <t>Unit</t>
        </is>
      </c>
      <c r="F500" s="58" t="inlineStr">
        <is>
          <t>6</t>
        </is>
      </c>
      <c r="G500" s="58" t="inlineStr">
        <is>
          <t>5</t>
        </is>
      </c>
      <c r="H500" s="58" t="inlineStr">
        <is>
          <t>Rare</t>
        </is>
      </c>
      <c r="I500" s="58" t="inlineStr">
        <is>
          <t>The Void</t>
        </is>
      </c>
      <c r="J500" s="13" t="inlineStr">
        <is>
          <t>When you play me, give your other units +2 Might this turn.
As I'm revealed from your deck, [ADD] 2.</t>
        </is>
      </c>
    </row>
    <row r="501" ht="15" customHeight="1">
      <c r="A501" s="26" t="inlineStr">
        <is>
          <t>SFD-176</t>
        </is>
      </c>
      <c r="B501" s="26" t="inlineStr"/>
      <c r="C501" s="26" t="inlineStr">
        <is>
          <t>Xin Zhao - Vigilant</t>
        </is>
      </c>
      <c r="D501" s="26" t="inlineStr">
        <is>
          <t>Order</t>
        </is>
      </c>
      <c r="E501" s="26" t="inlineStr">
        <is>
          <t>Champion Unit</t>
        </is>
      </c>
      <c r="F501" s="26" t="inlineStr">
        <is>
          <t>3</t>
        </is>
      </c>
      <c r="G501" s="26" t="inlineStr">
        <is>
          <t>4</t>
        </is>
      </c>
      <c r="H501" s="26" t="inlineStr">
        <is>
          <t>Rare</t>
        </is>
      </c>
      <c r="I501" s="26" t="inlineStr">
        <is>
          <t>Demacia;Xin Zhao</t>
        </is>
      </c>
      <c r="J501" s="27" t="inlineStr">
        <is>
          <t>[TANK] (I must be assigned combat damage first.)
I enter ready if you have two or more other units in your base.</t>
        </is>
      </c>
    </row>
    <row r="502" ht="15" customHeight="1">
      <c r="A502" s="58" t="inlineStr">
        <is>
          <t>SFD-177</t>
        </is>
      </c>
      <c r="B502" s="58" t="n">
        <v>1</v>
      </c>
      <c r="C502" s="58" t="inlineStr">
        <is>
          <t>Azir - Sovereign</t>
        </is>
      </c>
      <c r="D502" s="58" t="inlineStr">
        <is>
          <t>Order</t>
        </is>
      </c>
      <c r="E502" s="58" t="inlineStr">
        <is>
          <t>Champion Unit</t>
        </is>
      </c>
      <c r="F502" s="58" t="inlineStr">
        <is>
          <t>4</t>
        </is>
      </c>
      <c r="G502" s="58" t="inlineStr">
        <is>
          <t>4</t>
        </is>
      </c>
      <c r="H502" s="58" t="inlineStr">
        <is>
          <t>Epic</t>
        </is>
      </c>
      <c r="I502" s="58" t="inlineStr">
        <is>
          <t>Bird;Shurima;Azir</t>
        </is>
      </c>
      <c r="J502" s="13" t="inlineStr">
        <is>
          <t>[ACCELERATE] (You may pay 1 and Order as an additional cost to have me enter ready.) When I attack, you may move any number of your token units to this battlefield.</t>
        </is>
      </c>
    </row>
    <row r="503" ht="15" customHeight="1">
      <c r="A503" s="26" t="inlineStr">
        <is>
          <t>SFD-178</t>
        </is>
      </c>
      <c r="B503" s="26" t="inlineStr"/>
      <c r="C503" s="26" t="inlineStr">
        <is>
          <t>Blade of the Ruined King</t>
        </is>
      </c>
      <c r="D503" s="26" t="inlineStr">
        <is>
          <t>Order</t>
        </is>
      </c>
      <c r="E503" s="26" t="inlineStr">
        <is>
          <t>Gear</t>
        </is>
      </c>
      <c r="F503" s="26" t="inlineStr">
        <is>
          <t>3</t>
        </is>
      </c>
      <c r="G503" s="26" t="inlineStr">
        <is>
          <t>0</t>
        </is>
      </c>
      <c r="H503" s="26" t="inlineStr">
        <is>
          <t>Epic</t>
        </is>
      </c>
      <c r="I503" s="26" t="inlineStr">
        <is>
          <t>Equipment</t>
        </is>
      </c>
      <c r="J503" s="27" t="inlineStr">
        <is>
          <t>[EQUIP] — Order, Kill a friendly unit (Pay the cost: Attach this to a unit you control.) +4 Might</t>
        </is>
      </c>
    </row>
    <row r="504" ht="15" customHeight="1">
      <c r="A504" s="26" t="inlineStr">
        <is>
          <t>SFD-179</t>
        </is>
      </c>
      <c r="B504" s="26" t="inlineStr"/>
      <c r="C504" s="26" t="inlineStr">
        <is>
          <t>Corina Veraza</t>
        </is>
      </c>
      <c r="D504" s="26" t="inlineStr">
        <is>
          <t>Order</t>
        </is>
      </c>
      <c r="E504" s="26" t="inlineStr">
        <is>
          <t>Unit</t>
        </is>
      </c>
      <c r="F504" s="26" t="inlineStr">
        <is>
          <t>7</t>
        </is>
      </c>
      <c r="G504" s="26" t="inlineStr">
        <is>
          <t>6</t>
        </is>
      </c>
      <c r="H504" s="26" t="inlineStr">
        <is>
          <t>Epic</t>
        </is>
      </c>
      <c r="I504" s="26" t="inlineStr">
        <is>
          <t>Zaun</t>
        </is>
      </c>
      <c r="J504" s="27" t="inlineStr">
        <is>
          <t>[ACCELERATE] (You may pay 1 and Order as an additional cost to have me enter ready.) When I move to a battlefield, play three 1 Might Recruit unit tokens here.</t>
        </is>
      </c>
    </row>
    <row r="505" ht="15" customHeight="1">
      <c r="A505" s="58" t="inlineStr">
        <is>
          <t>SFD-180</t>
        </is>
      </c>
      <c r="B505" s="58" t="n">
        <v>1</v>
      </c>
      <c r="C505" s="58" t="inlineStr">
        <is>
          <t>Fiora - Worthy</t>
        </is>
      </c>
      <c r="D505" s="58" t="inlineStr">
        <is>
          <t>Order</t>
        </is>
      </c>
      <c r="E505" s="58" t="inlineStr">
        <is>
          <t>Champion Unit</t>
        </is>
      </c>
      <c r="F505" s="58" t="inlineStr">
        <is>
          <t>3</t>
        </is>
      </c>
      <c r="G505" s="58" t="inlineStr">
        <is>
          <t>3</t>
        </is>
      </c>
      <c r="H505" s="58" t="inlineStr">
        <is>
          <t>Epic</t>
        </is>
      </c>
      <c r="I505" s="58" t="inlineStr">
        <is>
          <t>Demacia;Fiora</t>
        </is>
      </c>
      <c r="J505" s="13" t="inlineStr">
        <is>
          <t>When a unit you control becomes [MIGHTY], you may pay Order to ready it. (A unit is Mighty while it has 5+ Might.)</t>
        </is>
      </c>
    </row>
    <row r="506" ht="15" customHeight="1">
      <c r="A506" s="57" t="inlineStr">
        <is>
          <t>SFD-181</t>
        </is>
      </c>
      <c r="B506" s="57" t="n">
        <v>1</v>
      </c>
      <c r="C506" s="57" t="inlineStr">
        <is>
          <t>Rumble - Mechanized Menace</t>
        </is>
      </c>
      <c r="D506" s="57" t="inlineStr">
        <is>
          <t>Fury;Mind</t>
        </is>
      </c>
      <c r="E506" s="57" t="inlineStr">
        <is>
          <t>Legend</t>
        </is>
      </c>
      <c r="F506" s="57" t="inlineStr">
        <is>
          <t>0</t>
        </is>
      </c>
      <c r="G506" s="57" t="inlineStr">
        <is>
          <t>0</t>
        </is>
      </c>
      <c r="H506" s="57" t="inlineStr">
        <is>
          <t>Rare</t>
        </is>
      </c>
      <c r="I506" s="57" t="inlineStr">
        <is>
          <t>Rumble</t>
        </is>
      </c>
      <c r="J506" s="3" t="inlineStr">
        <is>
          <t>Your Mechs have [SHIELD]. +1 Might while they're defenders.)</t>
        </is>
      </c>
    </row>
    <row r="507" ht="15" customHeight="1">
      <c r="A507" s="57" t="inlineStr">
        <is>
          <t>SFD-182</t>
        </is>
      </c>
      <c r="B507" s="57" t="n">
        <v>1</v>
      </c>
      <c r="C507" s="57" t="inlineStr">
        <is>
          <t>Danger Zone</t>
        </is>
      </c>
      <c r="D507" s="57" t="inlineStr">
        <is>
          <t>Fury;Mind</t>
        </is>
      </c>
      <c r="E507" s="57" t="inlineStr">
        <is>
          <t>Signature Spell</t>
        </is>
      </c>
      <c r="F507" s="57" t="inlineStr">
        <is>
          <t>1</t>
        </is>
      </c>
      <c r="G507" s="57" t="inlineStr">
        <is>
          <t>0</t>
        </is>
      </c>
      <c r="H507" s="57" t="inlineStr">
        <is>
          <t>Epic</t>
        </is>
      </c>
      <c r="I507" s="57" t="inlineStr">
        <is>
          <t>Rumble</t>
        </is>
      </c>
      <c r="J507" s="3" t="inlineStr">
        <is>
          <t>[REACTION] (Play any time, even before spells and abilities resolve.) [REPEAT] 1 Rune (You may pay the additional cost to repeat this spell's effect.) Give your Mechs +1 Might this turn</t>
        </is>
      </c>
    </row>
    <row r="508" ht="15" customHeight="1">
      <c r="A508" s="57" t="inlineStr">
        <is>
          <t>SFD-183</t>
        </is>
      </c>
      <c r="B508" s="57" t="n">
        <v>1</v>
      </c>
      <c r="C508" s="57" t="inlineStr">
        <is>
          <t>Lucian - Purifier</t>
        </is>
      </c>
      <c r="D508" s="57" t="inlineStr">
        <is>
          <t>Fury;Body</t>
        </is>
      </c>
      <c r="E508" s="57" t="inlineStr">
        <is>
          <t>Legend</t>
        </is>
      </c>
      <c r="F508" s="57" t="inlineStr">
        <is>
          <t>0</t>
        </is>
      </c>
      <c r="G508" s="57" t="inlineStr">
        <is>
          <t>0</t>
        </is>
      </c>
      <c r="H508" s="57" t="inlineStr">
        <is>
          <t>Rare</t>
        </is>
      </c>
      <c r="I508" s="57" t="inlineStr">
        <is>
          <t>Lucian</t>
        </is>
      </c>
      <c r="J508" s="3" t="inlineStr">
        <is>
          <t>Your Equipment each give [ASSAULT]. (+1 Might while equipped unit is an attacker.)</t>
        </is>
      </c>
    </row>
    <row r="509" ht="15" customHeight="1">
      <c r="A509" s="16" t="inlineStr">
        <is>
          <t>SFD-184</t>
        </is>
      </c>
      <c r="B509" s="16" t="inlineStr"/>
      <c r="C509" s="16" t="inlineStr">
        <is>
          <t>Relentless Pursuit</t>
        </is>
      </c>
      <c r="D509" s="16" t="inlineStr">
        <is>
          <t>Fury;Body</t>
        </is>
      </c>
      <c r="E509" s="16" t="inlineStr">
        <is>
          <t>Signature Spell</t>
        </is>
      </c>
      <c r="F509" s="16" t="inlineStr">
        <is>
          <t>2</t>
        </is>
      </c>
      <c r="G509" s="16" t="inlineStr">
        <is>
          <t>0</t>
        </is>
      </c>
      <c r="H509" s="16" t="inlineStr">
        <is>
          <t>Epic</t>
        </is>
      </c>
      <c r="I509" s="16" t="inlineStr">
        <is>
          <t>Lucian</t>
        </is>
      </c>
      <c r="J509" s="17" t="inlineStr">
        <is>
          <t>[ACTION] (Play on your turn or in showdowns.) Move a friendly unit. You may attach an Equipment with the same controller to it. This turn, that unit has "When I conquer, you may move me to my base."</t>
        </is>
      </c>
    </row>
    <row r="510" ht="15" customHeight="1">
      <c r="A510" s="57" t="inlineStr">
        <is>
          <t>SFD-185</t>
        </is>
      </c>
      <c r="B510" s="57" t="n">
        <v>1</v>
      </c>
      <c r="C510" s="57" t="inlineStr">
        <is>
          <t>Draven - Glorious Executioner</t>
        </is>
      </c>
      <c r="D510" s="57" t="inlineStr">
        <is>
          <t>Fury;Chaos</t>
        </is>
      </c>
      <c r="E510" s="57" t="inlineStr">
        <is>
          <t>Legend</t>
        </is>
      </c>
      <c r="F510" s="57" t="inlineStr">
        <is>
          <t>0</t>
        </is>
      </c>
      <c r="G510" s="57" t="inlineStr">
        <is>
          <t>0</t>
        </is>
      </c>
      <c r="H510" s="57" t="inlineStr">
        <is>
          <t>Rare</t>
        </is>
      </c>
      <c r="I510" s="57" t="inlineStr">
        <is>
          <t>Draven</t>
        </is>
      </c>
      <c r="J510" s="3" t="inlineStr">
        <is>
          <t>When you win a combat, draw 1. (You win if only your units remain after combat.)</t>
        </is>
      </c>
    </row>
    <row r="511" ht="15" customHeight="1">
      <c r="A511" s="16" t="inlineStr">
        <is>
          <t>SFD-186</t>
        </is>
      </c>
      <c r="B511" s="16" t="inlineStr"/>
      <c r="C511" s="16" t="inlineStr">
        <is>
          <t>Spinning Axe</t>
        </is>
      </c>
      <c r="D511" s="16" t="inlineStr">
        <is>
          <t>Fury;Chaos</t>
        </is>
      </c>
      <c r="E511" s="16" t="inlineStr">
        <is>
          <t>Signature Gear</t>
        </is>
      </c>
      <c r="F511" s="16" t="inlineStr">
        <is>
          <t>2</t>
        </is>
      </c>
      <c r="G511" s="16" t="inlineStr">
        <is>
          <t>0</t>
        </is>
      </c>
      <c r="H511" s="16" t="inlineStr">
        <is>
          <t>Epic</t>
        </is>
      </c>
      <c r="I511" s="16" t="inlineStr">
        <is>
          <t>Draven;Equipment</t>
        </is>
      </c>
      <c r="J511" s="17" t="inlineStr">
        <is>
          <t>[QUICK-DRAW] (This has REACTION. When you play it, attach it to a unit you control.) [EQUIP 1 Rune] (1 Rune: Attach this to a unit you control.) TEMPORARY (If this is unattached, kill it at the start of its controller's Beginning Phase, before scoring.)</t>
        </is>
      </c>
    </row>
    <row r="512" ht="15" customHeight="1">
      <c r="A512" s="57" t="inlineStr">
        <is>
          <t>SFD-187</t>
        </is>
      </c>
      <c r="B512" s="57" t="n">
        <v>1</v>
      </c>
      <c r="C512" s="57" t="inlineStr">
        <is>
          <t>Rek'sai - Void Burrower</t>
        </is>
      </c>
      <c r="D512" s="57" t="inlineStr">
        <is>
          <t>Fury;Order</t>
        </is>
      </c>
      <c r="E512" s="57" t="inlineStr">
        <is>
          <t>Legend</t>
        </is>
      </c>
      <c r="F512" s="57" t="inlineStr">
        <is>
          <t>0</t>
        </is>
      </c>
      <c r="G512" s="57" t="inlineStr">
        <is>
          <t>0</t>
        </is>
      </c>
      <c r="H512" s="57" t="inlineStr">
        <is>
          <t>Rare</t>
        </is>
      </c>
      <c r="I512" s="57" t="inlineStr">
        <is>
          <t>Rek'Sai</t>
        </is>
      </c>
      <c r="J512" s="3" t="inlineStr">
        <is>
          <t>When you conquer, you may exhaust me to reveal the top 2 cards of your Main Deck. You may play one. Then recycle the rest.</t>
        </is>
      </c>
    </row>
    <row r="513" ht="15" customHeight="1">
      <c r="A513" s="16" t="inlineStr">
        <is>
          <t>SFD-188</t>
        </is>
      </c>
      <c r="B513" s="16" t="inlineStr"/>
      <c r="C513" s="16" t="inlineStr">
        <is>
          <t>Void Rush</t>
        </is>
      </c>
      <c r="D513" s="16" t="inlineStr">
        <is>
          <t>Fury;Order</t>
        </is>
      </c>
      <c r="E513" s="16" t="inlineStr">
        <is>
          <t>Signature Spell</t>
        </is>
      </c>
      <c r="F513" s="16" t="inlineStr">
        <is>
          <t>2</t>
        </is>
      </c>
      <c r="G513" s="16" t="inlineStr">
        <is>
          <t>0</t>
        </is>
      </c>
      <c r="H513" s="16" t="inlineStr">
        <is>
          <t>Epic</t>
        </is>
      </c>
      <c r="I513" s="16" t="inlineStr">
        <is>
          <t>Rek'Sai</t>
        </is>
      </c>
      <c r="J513" s="17" t="inlineStr">
        <is>
          <t>Reveal the top 2 cards of your Main Deck. You may play one of them, reducing its cost by 2. Draw any you did not play this way.</t>
        </is>
      </c>
    </row>
    <row r="514" ht="15" customHeight="1">
      <c r="A514" s="49" t="inlineStr">
        <is>
          <t>SFD-189</t>
        </is>
      </c>
      <c r="B514" s="49" t="n">
        <v>1</v>
      </c>
      <c r="C514" s="49" t="inlineStr">
        <is>
          <t>Ornn - Fire Below the Mountain</t>
        </is>
      </c>
      <c r="D514" s="49" t="inlineStr">
        <is>
          <t>Calm;Mind</t>
        </is>
      </c>
      <c r="E514" s="49" t="inlineStr">
        <is>
          <t>Legend</t>
        </is>
      </c>
      <c r="F514" s="49" t="inlineStr">
        <is>
          <t>2</t>
        </is>
      </c>
      <c r="G514" s="49" t="inlineStr">
        <is>
          <t>0</t>
        </is>
      </c>
      <c r="H514" s="49" t="inlineStr">
        <is>
          <t>Rare</t>
        </is>
      </c>
      <c r="I514" s="49" t="inlineStr">
        <is>
          <t>Ornn</t>
        </is>
      </c>
      <c r="J514" s="5" t="inlineStr">
        <is>
          <t>Exhaust: [REACTION] — [ADD] Rune. Use only to play gear or use gear abilities. (Abilities that add resources can't be reacted to.)</t>
        </is>
      </c>
    </row>
    <row r="515" ht="15" customHeight="1">
      <c r="A515" s="20" t="inlineStr">
        <is>
          <t>SFD-190</t>
        </is>
      </c>
      <c r="B515" s="20" t="inlineStr"/>
      <c r="C515" s="20" t="inlineStr">
        <is>
          <t>Forgefire Cape</t>
        </is>
      </c>
      <c r="D515" s="20" t="inlineStr">
        <is>
          <t>Mind;Body</t>
        </is>
      </c>
      <c r="E515" s="20" t="inlineStr">
        <is>
          <t>Signature Gear</t>
        </is>
      </c>
      <c r="F515" s="20" t="inlineStr">
        <is>
          <t>4</t>
        </is>
      </c>
      <c r="G515" s="20" t="inlineStr"/>
      <c r="H515" s="20" t="inlineStr">
        <is>
          <t>Epic</t>
        </is>
      </c>
      <c r="I515" s="20" t="inlineStr">
        <is>
          <t>Equipment;Ornn</t>
        </is>
      </c>
      <c r="J515" s="21" t="inlineStr">
        <is>
          <t>[UNIQUE] (Your deck can have only 1 card with this name.) [EQUIP Rune] (Rune: Attach this to a unit you control.) When I attack or defend, deal 2 to all enemy units here. +3 Might.</t>
        </is>
      </c>
    </row>
    <row r="516" ht="15" customHeight="1">
      <c r="A516" s="18" t="inlineStr">
        <is>
          <t>SFD-191</t>
        </is>
      </c>
      <c r="B516" s="18" t="inlineStr"/>
      <c r="C516" s="18" t="inlineStr">
        <is>
          <t>Rabadon's Deathcrown</t>
        </is>
      </c>
      <c r="D516" s="18" t="inlineStr">
        <is>
          <t>Calm;Mind</t>
        </is>
      </c>
      <c r="E516" s="18" t="inlineStr">
        <is>
          <t>Signature Gear</t>
        </is>
      </c>
      <c r="F516" s="18" t="inlineStr">
        <is>
          <t>4</t>
        </is>
      </c>
      <c r="G516" s="18" t="inlineStr"/>
      <c r="H516" s="18" t="inlineStr">
        <is>
          <t>Epic</t>
        </is>
      </c>
      <c r="I516" s="18" t="inlineStr">
        <is>
          <t>Equipment;Ornn</t>
        </is>
      </c>
      <c r="J516" s="19" t="inlineStr">
        <is>
          <t>[UNIQUE] (Your deck can have only 1 card with this name.) [EQUIP Rune] (Rune: Attach this to a unit you control.) Your spells and abilities deal 3 Bonus Damage (while this is attached). +3 Might</t>
        </is>
      </c>
    </row>
    <row r="517" ht="15" customHeight="1">
      <c r="A517" s="18" t="inlineStr">
        <is>
          <t>SFD-192</t>
        </is>
      </c>
      <c r="B517" s="18" t="inlineStr"/>
      <c r="C517" s="18" t="inlineStr">
        <is>
          <t>Shurelya's Requiem</t>
        </is>
      </c>
      <c r="D517" s="18" t="inlineStr">
        <is>
          <t>Calm;Mind</t>
        </is>
      </c>
      <c r="E517" s="18" t="inlineStr">
        <is>
          <t>Signature Gear</t>
        </is>
      </c>
      <c r="F517" s="18" t="inlineStr">
        <is>
          <t>4</t>
        </is>
      </c>
      <c r="G517" s="18" t="inlineStr"/>
      <c r="H517" s="18" t="inlineStr">
        <is>
          <t>Epic</t>
        </is>
      </c>
      <c r="I517" s="18" t="inlineStr">
        <is>
          <t>Equipment;Ornn</t>
        </is>
      </c>
      <c r="J517" s="19" t="inlineStr">
        <is>
          <t>[UNIQUE] (Your deck can have only 1 card with this name.) [EQUIP Rune] (Rune: Attach this to a unit you control.) When you play this, ready your units. Your units here have [GANKING] (We can move from battlefield to battlefield.). +2 Might</t>
        </is>
      </c>
    </row>
    <row r="518" ht="15" customHeight="1">
      <c r="A518" s="49" t="inlineStr">
        <is>
          <t>SFD-193</t>
        </is>
      </c>
      <c r="B518" s="49" t="n">
        <v>2</v>
      </c>
      <c r="C518" s="49" t="inlineStr">
        <is>
          <t>Jax - Grandmaster At Arms</t>
        </is>
      </c>
      <c r="D518" s="49" t="inlineStr">
        <is>
          <t>Calm;Body</t>
        </is>
      </c>
      <c r="E518" s="49" t="inlineStr">
        <is>
          <t>Legend</t>
        </is>
      </c>
      <c r="F518" s="49" t="inlineStr">
        <is>
          <t>0</t>
        </is>
      </c>
      <c r="G518" s="49" t="inlineStr">
        <is>
          <t>0</t>
        </is>
      </c>
      <c r="H518" s="49" t="inlineStr">
        <is>
          <t>Rare</t>
        </is>
      </c>
      <c r="I518" s="49" t="inlineStr">
        <is>
          <t>Jax</t>
        </is>
      </c>
      <c r="J518" s="5" t="inlineStr">
        <is>
          <t>1, Exhaust: Attach a detached Equipment you control to a unit you control.
Exhaust: Attach an attached Equipment you control to a unit you control.</t>
        </is>
      </c>
    </row>
    <row r="519" ht="15" customHeight="1">
      <c r="A519" s="18" t="inlineStr">
        <is>
          <t>SFD-194</t>
        </is>
      </c>
      <c r="B519" s="18" t="inlineStr"/>
      <c r="C519" s="18" t="inlineStr">
        <is>
          <t>Counter Strike</t>
        </is>
      </c>
      <c r="D519" s="18" t="inlineStr">
        <is>
          <t>Calm;Body</t>
        </is>
      </c>
      <c r="E519" s="18" t="inlineStr">
        <is>
          <t>Signature Spell</t>
        </is>
      </c>
      <c r="F519" s="18" t="inlineStr">
        <is>
          <t>2</t>
        </is>
      </c>
      <c r="G519" s="18" t="inlineStr"/>
      <c r="H519" s="18" t="inlineStr">
        <is>
          <t>Epic</t>
        </is>
      </c>
      <c r="I519" s="18" t="inlineStr">
        <is>
          <t>Jax</t>
        </is>
      </c>
      <c r="J519" s="19" t="inlineStr">
        <is>
          <t>[REACTION] (Play any time, even before spells and abilities resolve.) Choose a unit. The next time that unit would be dealt damage this turn, prevent it. Draw 1.</t>
        </is>
      </c>
    </row>
    <row r="520" ht="15" customHeight="1">
      <c r="A520" s="49" t="inlineStr">
        <is>
          <t>SFD-195</t>
        </is>
      </c>
      <c r="B520" s="49" t="n">
        <v>1</v>
      </c>
      <c r="C520" s="49" t="inlineStr">
        <is>
          <t>Irelia - Blade Dancer</t>
        </is>
      </c>
      <c r="D520" s="49" t="inlineStr">
        <is>
          <t>Calm;Chaos</t>
        </is>
      </c>
      <c r="E520" s="49" t="inlineStr">
        <is>
          <t>Legend</t>
        </is>
      </c>
      <c r="F520" s="49" t="inlineStr">
        <is>
          <t>0</t>
        </is>
      </c>
      <c r="G520" s="49" t="inlineStr">
        <is>
          <t>0</t>
        </is>
      </c>
      <c r="H520" s="49" t="inlineStr">
        <is>
          <t>Rare</t>
        </is>
      </c>
      <c r="I520" s="49" t="inlineStr">
        <is>
          <t>Irelia</t>
        </is>
      </c>
      <c r="J520" s="5" t="inlineStr">
        <is>
          <t>When you choose a friendly unit, you may exhaust me and pay 1 Rune to ready it.
When you conquer, you may pay 1 to ready me.</t>
        </is>
      </c>
    </row>
    <row r="521" ht="15" customHeight="1">
      <c r="A521" s="18" t="inlineStr">
        <is>
          <t>SFD-196</t>
        </is>
      </c>
      <c r="B521" s="18" t="inlineStr"/>
      <c r="C521" s="18" t="inlineStr">
        <is>
          <t>Defiant Dance</t>
        </is>
      </c>
      <c r="D521" s="18" t="inlineStr">
        <is>
          <t>Calm;Chaos</t>
        </is>
      </c>
      <c r="E521" s="18" t="inlineStr">
        <is>
          <t>Signature Spell</t>
        </is>
      </c>
      <c r="F521" s="18" t="inlineStr">
        <is>
          <t>1</t>
        </is>
      </c>
      <c r="G521" s="18" t="inlineStr">
        <is>
          <t>0</t>
        </is>
      </c>
      <c r="H521" s="18" t="inlineStr">
        <is>
          <t>Epic</t>
        </is>
      </c>
      <c r="I521" s="18" t="inlineStr">
        <is>
          <t>Irelia</t>
        </is>
      </c>
      <c r="J521" s="19" t="inlineStr">
        <is>
          <t>[REACTION] (Play any time, even before spells and abilities resolve.) Give a unit +2 Might this turn and another unit -2 Might this turn.</t>
        </is>
      </c>
    </row>
    <row r="522" ht="15" customHeight="1">
      <c r="A522" s="49" t="inlineStr">
        <is>
          <t>SFD-197</t>
        </is>
      </c>
      <c r="B522" s="49" t="n">
        <v>1</v>
      </c>
      <c r="C522" s="49" t="inlineStr">
        <is>
          <t>Azir - Emperor of the Sands</t>
        </is>
      </c>
      <c r="D522" s="49" t="inlineStr">
        <is>
          <t>Calm;Order</t>
        </is>
      </c>
      <c r="E522" s="49" t="inlineStr">
        <is>
          <t>Legend</t>
        </is>
      </c>
      <c r="F522" s="49" t="inlineStr">
        <is>
          <t>0</t>
        </is>
      </c>
      <c r="G522" s="49" t="inlineStr">
        <is>
          <t>0</t>
        </is>
      </c>
      <c r="H522" s="49" t="inlineStr">
        <is>
          <t>Rare</t>
        </is>
      </c>
      <c r="I522" s="49" t="inlineStr">
        <is>
          <t>Azir</t>
        </is>
      </c>
      <c r="J522" s="5" t="inlineStr">
        <is>
          <t>Your Sand Soldiers have [WEAPONMASTER].
1, Exhaust: Play a 2 Might Sand Soldier unit token to your base. Use only if you've played an Equipment this turn.</t>
        </is>
      </c>
    </row>
    <row r="523" ht="15" customHeight="1">
      <c r="A523" s="49" t="inlineStr">
        <is>
          <t>SFD-198</t>
        </is>
      </c>
      <c r="B523" s="49" t="n">
        <v>1</v>
      </c>
      <c r="C523" s="49" t="inlineStr">
        <is>
          <t>Arise!</t>
        </is>
      </c>
      <c r="D523" s="49" t="inlineStr">
        <is>
          <t>Calm;Order</t>
        </is>
      </c>
      <c r="E523" s="49" t="inlineStr">
        <is>
          <t>Signature Spell</t>
        </is>
      </c>
      <c r="F523" s="49" t="inlineStr">
        <is>
          <t>6</t>
        </is>
      </c>
      <c r="G523" s="49" t="inlineStr"/>
      <c r="H523" s="49" t="inlineStr">
        <is>
          <t>Epic</t>
        </is>
      </c>
      <c r="I523" s="49" t="inlineStr">
        <is>
          <t>Azir</t>
        </is>
      </c>
      <c r="J523" s="5" t="inlineStr">
        <is>
          <t>Play a 2 Might Sand Soldier unit token for each Equipment you control. Then ready two of them.</t>
        </is>
      </c>
    </row>
    <row r="524" ht="15" customHeight="1">
      <c r="A524" s="54" t="inlineStr">
        <is>
          <t>SFD-199</t>
        </is>
      </c>
      <c r="B524" s="54" t="n">
        <v>1</v>
      </c>
      <c r="C524" s="54" t="inlineStr">
        <is>
          <t>Ezreal - Prodigal Explorer</t>
        </is>
      </c>
      <c r="D524" s="54" t="inlineStr">
        <is>
          <t>Mind;Chaos</t>
        </is>
      </c>
      <c r="E524" s="54" t="inlineStr">
        <is>
          <t>Legend</t>
        </is>
      </c>
      <c r="F524" s="54" t="inlineStr">
        <is>
          <t>0</t>
        </is>
      </c>
      <c r="G524" s="54" t="inlineStr">
        <is>
          <t>0</t>
        </is>
      </c>
      <c r="H524" s="54" t="inlineStr">
        <is>
          <t>Rare</t>
        </is>
      </c>
      <c r="I524" s="54" t="inlineStr">
        <is>
          <t>Ezreal</t>
        </is>
      </c>
      <c r="J524" s="7" t="inlineStr">
        <is>
          <t>Exhaust: [REACTION] — Draw 1. Use only if you've chosen enemy units and/or gear twice this turn with spells or unit abilities.</t>
        </is>
      </c>
    </row>
    <row r="525" ht="15" customHeight="1">
      <c r="A525" s="20" t="inlineStr">
        <is>
          <t>SFD-200</t>
        </is>
      </c>
      <c r="B525" s="20" t="inlineStr"/>
      <c r="C525" s="20" t="inlineStr">
        <is>
          <t>Arcane Shift</t>
        </is>
      </c>
      <c r="D525" s="20" t="inlineStr">
        <is>
          <t>Mind;Chaos</t>
        </is>
      </c>
      <c r="E525" s="20" t="inlineStr">
        <is>
          <t>Signature Spell</t>
        </is>
      </c>
      <c r="F525" s="20" t="inlineStr">
        <is>
          <t>3</t>
        </is>
      </c>
      <c r="G525" s="20" t="inlineStr"/>
      <c r="H525" s="20" t="inlineStr">
        <is>
          <t>Epic</t>
        </is>
      </c>
      <c r="I525" s="20" t="inlineStr">
        <is>
          <t>Ezreal</t>
        </is>
      </c>
      <c r="J525" s="21" t="inlineStr">
        <is>
          <t>[ACTION] (Play on your turn or in showdowns.) Banish a friendly unit, then its owner lays it, ignoring its cost. Deal 3 to an enemy unit at a battlefield. Banish this.</t>
        </is>
      </c>
    </row>
    <row r="526" ht="15" customHeight="1">
      <c r="A526" s="54" t="inlineStr">
        <is>
          <t>SFD-201</t>
        </is>
      </c>
      <c r="B526" s="54" t="n">
        <v>1</v>
      </c>
      <c r="C526" s="54" t="inlineStr">
        <is>
          <t>Renata Glasc - Chem-Baroness</t>
        </is>
      </c>
      <c r="D526" s="54" t="inlineStr">
        <is>
          <t>Mind;Order</t>
        </is>
      </c>
      <c r="E526" s="54" t="inlineStr">
        <is>
          <t>Legend</t>
        </is>
      </c>
      <c r="F526" s="54" t="inlineStr">
        <is>
          <t>0</t>
        </is>
      </c>
      <c r="G526" s="54" t="inlineStr">
        <is>
          <t>0</t>
        </is>
      </c>
      <c r="H526" s="54" t="inlineStr">
        <is>
          <t>Rare</t>
        </is>
      </c>
      <c r="I526" s="54" t="inlineStr">
        <is>
          <t>Renata Glasc</t>
        </is>
      </c>
      <c r="J526" s="7" t="inlineStr">
        <is>
          <t>When you or an ally hold, you may exhaust me to play a Gold gear token exhausted.
While your score is within 3 points of the Victory Score, your Gold ADD an additional 1.</t>
        </is>
      </c>
    </row>
    <row r="527" ht="15" customHeight="1">
      <c r="A527" s="20" t="inlineStr">
        <is>
          <t>SFD-202</t>
        </is>
      </c>
      <c r="B527" s="20" t="inlineStr"/>
      <c r="C527" s="20" t="inlineStr">
        <is>
          <t>Hostile Takeover</t>
        </is>
      </c>
      <c r="D527" s="20" t="inlineStr">
        <is>
          <t>Mind;Order</t>
        </is>
      </c>
      <c r="E527" s="20" t="inlineStr">
        <is>
          <t>Signature Spell</t>
        </is>
      </c>
      <c r="F527" s="20" t="inlineStr">
        <is>
          <t>5</t>
        </is>
      </c>
      <c r="G527" s="20" t="inlineStr"/>
      <c r="H527" s="20" t="inlineStr">
        <is>
          <t>Epic</t>
        </is>
      </c>
      <c r="I527" s="20" t="inlineStr">
        <is>
          <t>Renata Glasc</t>
        </is>
      </c>
      <c r="J527" s="21" t="inlineStr">
        <is>
          <t>[Hidden] (Hide now for Rune to react with later for 0) Take control of an enemy unit at a battlefield. Ready it. (Start a combat if other enemies are there. Otherwise, conquer.) Lose control of that unit and recall it at end of turn. (Send it to base. This isn't a move.)</t>
        </is>
      </c>
    </row>
    <row r="528" ht="15" customHeight="1">
      <c r="A528" s="59" t="inlineStr">
        <is>
          <t>SFD-203</t>
        </is>
      </c>
      <c r="B528" s="59" t="n">
        <v>1</v>
      </c>
      <c r="C528" s="59" t="inlineStr">
        <is>
          <t>Sivir - Battle Mistress</t>
        </is>
      </c>
      <c r="D528" s="59" t="inlineStr">
        <is>
          <t>Body;Chaos</t>
        </is>
      </c>
      <c r="E528" s="59" t="inlineStr">
        <is>
          <t>Legend</t>
        </is>
      </c>
      <c r="F528" s="59" t="inlineStr">
        <is>
          <t>0</t>
        </is>
      </c>
      <c r="G528" s="59" t="inlineStr">
        <is>
          <t>0</t>
        </is>
      </c>
      <c r="H528" s="59" t="inlineStr">
        <is>
          <t>Rare</t>
        </is>
      </c>
      <c r="I528" s="59" t="inlineStr">
        <is>
          <t>Sivir</t>
        </is>
      </c>
      <c r="J528" s="9" t="inlineStr">
        <is>
          <t>When you recycle a rune, you may exhaust me to play a Gold gear token exhausted.
When one or more enemy units die, ready me.</t>
        </is>
      </c>
    </row>
    <row r="529" ht="15" customHeight="1">
      <c r="A529" s="22" t="inlineStr">
        <is>
          <t>SFD-204</t>
        </is>
      </c>
      <c r="B529" s="22" t="inlineStr"/>
      <c r="C529" s="22" t="inlineStr">
        <is>
          <t>On the Hunt</t>
        </is>
      </c>
      <c r="D529" s="22" t="inlineStr">
        <is>
          <t>Body;Chaos</t>
        </is>
      </c>
      <c r="E529" s="22" t="inlineStr">
        <is>
          <t>Signature Spell</t>
        </is>
      </c>
      <c r="F529" s="22" t="inlineStr">
        <is>
          <t>1</t>
        </is>
      </c>
      <c r="G529" s="22" t="inlineStr"/>
      <c r="H529" s="22" t="inlineStr">
        <is>
          <t>Epic</t>
        </is>
      </c>
      <c r="I529" s="22" t="inlineStr">
        <is>
          <t>Sivir</t>
        </is>
      </c>
      <c r="J529" s="23" t="inlineStr">
        <is>
          <t>Ready your units.</t>
        </is>
      </c>
    </row>
    <row r="530" ht="15" customHeight="1">
      <c r="A530" s="59" t="inlineStr">
        <is>
          <t>SFD-205</t>
        </is>
      </c>
      <c r="B530" s="59" t="n">
        <v>1</v>
      </c>
      <c r="C530" s="59" t="inlineStr">
        <is>
          <t>Fiora - Grand Duelist</t>
        </is>
      </c>
      <c r="D530" s="59" t="inlineStr">
        <is>
          <t>Body;Order</t>
        </is>
      </c>
      <c r="E530" s="59" t="inlineStr">
        <is>
          <t>Legend</t>
        </is>
      </c>
      <c r="F530" s="59" t="inlineStr">
        <is>
          <t>0</t>
        </is>
      </c>
      <c r="G530" s="59" t="inlineStr">
        <is>
          <t>0</t>
        </is>
      </c>
      <c r="H530" s="59" t="inlineStr">
        <is>
          <t>Rare</t>
        </is>
      </c>
      <c r="I530" s="59" t="inlineStr">
        <is>
          <t>Fiora</t>
        </is>
      </c>
      <c r="J530" s="9" t="inlineStr">
        <is>
          <t>When one of your units becomes [MIGHTY], you may exhaust me to channel 1 rune exhausted. (A unit is Mighty while it has 5+ Might.)</t>
        </is>
      </c>
    </row>
    <row r="531" ht="15" customHeight="1">
      <c r="A531" s="59" t="inlineStr">
        <is>
          <t>SFD-206</t>
        </is>
      </c>
      <c r="B531" s="59" t="n">
        <v>1</v>
      </c>
      <c r="C531" s="59" t="inlineStr">
        <is>
          <t>Riposte</t>
        </is>
      </c>
      <c r="D531" s="59" t="inlineStr">
        <is>
          <t>Body;Order</t>
        </is>
      </c>
      <c r="E531" s="59" t="inlineStr">
        <is>
          <t>Signature Spell</t>
        </is>
      </c>
      <c r="F531" s="59" t="inlineStr">
        <is>
          <t>2</t>
        </is>
      </c>
      <c r="G531" s="59" t="inlineStr"/>
      <c r="H531" s="59" t="inlineStr">
        <is>
          <t>Epic</t>
        </is>
      </c>
      <c r="I531" s="59" t="inlineStr">
        <is>
          <t>Fiora</t>
        </is>
      </c>
      <c r="J531" s="9" t="inlineStr">
        <is>
          <t>[REACTION] (Play any time, even before spells and abilities resolve.) Choose a friendly unit and a spell. Counter that spell and give that unit + Might equal to that spell's Energy cost this turn.</t>
        </is>
      </c>
    </row>
    <row r="532" ht="15" customHeight="1">
      <c r="A532" s="14" t="inlineStr">
        <is>
          <t>SFD-207</t>
        </is>
      </c>
      <c r="B532" s="14" t="n">
        <v>1</v>
      </c>
      <c r="C532" s="14" t="inlineStr">
        <is>
          <t>Emperor's Dais</t>
        </is>
      </c>
      <c r="D532" s="14" t="inlineStr">
        <is>
          <t>Colorless</t>
        </is>
      </c>
      <c r="E532" s="14" t="inlineStr">
        <is>
          <t>Battlefield</t>
        </is>
      </c>
      <c r="F532" s="14" t="inlineStr"/>
      <c r="G532" s="14" t="inlineStr"/>
      <c r="H532" s="14" t="inlineStr">
        <is>
          <t>Uncommon</t>
        </is>
      </c>
      <c r="I532" s="14" t="inlineStr"/>
      <c r="J532" s="15" t="inlineStr">
        <is>
          <t>When you conquer here, you may pay 1 and return a unit you control here to its owner's hand. If you do, play a 2 Might Sand Soldier unit token here.</t>
        </is>
      </c>
    </row>
    <row r="533" ht="15" customHeight="1">
      <c r="A533" s="14" t="inlineStr">
        <is>
          <t>SFD-208</t>
        </is>
      </c>
      <c r="B533" s="14" t="n">
        <v>1</v>
      </c>
      <c r="C533" s="14" t="inlineStr">
        <is>
          <t>Forge of the Fluft</t>
        </is>
      </c>
      <c r="D533" s="14" t="inlineStr">
        <is>
          <t>Colorless</t>
        </is>
      </c>
      <c r="E533" s="14" t="inlineStr">
        <is>
          <t>Battlefield</t>
        </is>
      </c>
      <c r="F533" s="14" t="inlineStr"/>
      <c r="G533" s="14" t="inlineStr"/>
      <c r="H533" s="14" t="inlineStr">
        <is>
          <t>Uncommon</t>
        </is>
      </c>
      <c r="I533" s="14" t="inlineStr"/>
      <c r="J533" s="15" t="inlineStr">
        <is>
          <t>While you control this battlefield, friendly legends have "Exhaust: Attach an Equipment you control to a unit you control."</t>
        </is>
      </c>
    </row>
    <row r="534" ht="15" customHeight="1">
      <c r="A534" s="14" t="inlineStr">
        <is>
          <t>SFD-209</t>
        </is>
      </c>
      <c r="B534" s="14" t="n">
        <v>1</v>
      </c>
      <c r="C534" s="14" t="inlineStr">
        <is>
          <t>Forgotten Monument</t>
        </is>
      </c>
      <c r="D534" s="14" t="inlineStr">
        <is>
          <t>Colorless</t>
        </is>
      </c>
      <c r="E534" s="14" t="inlineStr">
        <is>
          <t>Battlefield</t>
        </is>
      </c>
      <c r="F534" s="14" t="inlineStr"/>
      <c r="G534" s="14" t="inlineStr"/>
      <c r="H534" s="14" t="inlineStr">
        <is>
          <t>Uncommon</t>
        </is>
      </c>
      <c r="I534" s="14" t="inlineStr"/>
      <c r="J534" s="15" t="inlineStr">
        <is>
          <t>Players can't score here until their third turn.</t>
        </is>
      </c>
    </row>
    <row r="535" ht="15" customHeight="1">
      <c r="A535" s="14" t="inlineStr">
        <is>
          <t>SFD-210</t>
        </is>
      </c>
      <c r="B535" s="14" t="n">
        <v>1</v>
      </c>
      <c r="C535" s="14" t="inlineStr">
        <is>
          <t>Hall of Legends</t>
        </is>
      </c>
      <c r="D535" s="14" t="inlineStr">
        <is>
          <t>Colorless</t>
        </is>
      </c>
      <c r="E535" s="14" t="inlineStr">
        <is>
          <t>Battlefield</t>
        </is>
      </c>
      <c r="F535" s="14" t="inlineStr"/>
      <c r="G535" s="14" t="inlineStr"/>
      <c r="H535" s="14" t="inlineStr">
        <is>
          <t>Uncommon</t>
        </is>
      </c>
      <c r="I535" s="14" t="inlineStr"/>
      <c r="J535" s="15" t="inlineStr">
        <is>
          <t>When you conquer here, you may pay 1 to ready your legend.</t>
        </is>
      </c>
    </row>
    <row r="536" ht="15" customHeight="1">
      <c r="A536" s="14" t="inlineStr">
        <is>
          <t>SFD-211</t>
        </is>
      </c>
      <c r="B536" s="14" t="n">
        <v>1</v>
      </c>
      <c r="C536" s="14" t="inlineStr">
        <is>
          <t>Marai Spire</t>
        </is>
      </c>
      <c r="D536" s="14" t="inlineStr">
        <is>
          <t>Colorless</t>
        </is>
      </c>
      <c r="E536" s="14" t="inlineStr">
        <is>
          <t>Battlefield</t>
        </is>
      </c>
      <c r="F536" s="14" t="inlineStr"/>
      <c r="G536" s="14" t="inlineStr"/>
      <c r="H536" s="14" t="inlineStr">
        <is>
          <t>Uncommon</t>
        </is>
      </c>
      <c r="I536" s="14" t="inlineStr"/>
      <c r="J536" s="15" t="inlineStr">
        <is>
          <t>While you control this battlefield, friendly [REPEAT] costs cost 1 less.</t>
        </is>
      </c>
    </row>
    <row r="537" ht="15" customHeight="1">
      <c r="A537" s="14" t="inlineStr">
        <is>
          <t>SFD-212</t>
        </is>
      </c>
      <c r="B537" s="14" t="n">
        <v>1</v>
      </c>
      <c r="C537" s="14" t="inlineStr">
        <is>
          <t>Minefield</t>
        </is>
      </c>
      <c r="D537" s="14" t="inlineStr">
        <is>
          <t>Colorless</t>
        </is>
      </c>
      <c r="E537" s="14" t="inlineStr">
        <is>
          <t>Battlefield</t>
        </is>
      </c>
      <c r="F537" s="14" t="inlineStr"/>
      <c r="G537" s="14" t="inlineStr"/>
      <c r="H537" s="14" t="inlineStr">
        <is>
          <t>Uncommon</t>
        </is>
      </c>
      <c r="I537" s="14" t="inlineStr"/>
      <c r="J537" s="15" t="inlineStr">
        <is>
          <t>When you conquer here, put the top 2 cards of your Main Deck into your trash.</t>
        </is>
      </c>
    </row>
    <row r="538" ht="15" customHeight="1">
      <c r="A538" s="14" t="inlineStr">
        <is>
          <t>SFD-213</t>
        </is>
      </c>
      <c r="B538" s="14" t="n">
        <v>1</v>
      </c>
      <c r="C538" s="14" t="inlineStr">
        <is>
          <t>Ornn's Forge</t>
        </is>
      </c>
      <c r="D538" s="14" t="inlineStr">
        <is>
          <t>Colorless</t>
        </is>
      </c>
      <c r="E538" s="14" t="inlineStr">
        <is>
          <t>Battlefield</t>
        </is>
      </c>
      <c r="F538" s="14" t="inlineStr"/>
      <c r="G538" s="14" t="inlineStr"/>
      <c r="H538" s="14" t="inlineStr">
        <is>
          <t>Uncommon</t>
        </is>
      </c>
      <c r="I538" s="14" t="inlineStr"/>
      <c r="J538" s="15" t="inlineStr">
        <is>
          <t>While you control this battlefield, the first friendly non-token gear played each turn costs 1 less.</t>
        </is>
      </c>
    </row>
    <row r="539" ht="15" customHeight="1">
      <c r="A539" s="30" t="inlineStr">
        <is>
          <t>SFD-214</t>
        </is>
      </c>
      <c r="B539" s="30" t="inlineStr"/>
      <c r="C539" s="30" t="inlineStr">
        <is>
          <t>Power Nexus</t>
        </is>
      </c>
      <c r="D539" s="30" t="inlineStr">
        <is>
          <t>Colorless</t>
        </is>
      </c>
      <c r="E539" s="30" t="inlineStr">
        <is>
          <t>Battlefield</t>
        </is>
      </c>
      <c r="F539" s="30" t="inlineStr">
        <is>
          <t>0</t>
        </is>
      </c>
      <c r="G539" s="30" t="inlineStr">
        <is>
          <t>0</t>
        </is>
      </c>
      <c r="H539" s="30" t="inlineStr">
        <is>
          <t>Uncommon</t>
        </is>
      </c>
      <c r="I539" s="30" t="inlineStr"/>
      <c r="J539" s="31" t="inlineStr">
        <is>
          <t>When you hold here, you may pay Rune Rune Rune Rune to score 1 point.</t>
        </is>
      </c>
    </row>
    <row r="540" ht="15" customHeight="1">
      <c r="A540" s="14" t="inlineStr">
        <is>
          <t>SFD-215</t>
        </is>
      </c>
      <c r="B540" s="14" t="n">
        <v>1</v>
      </c>
      <c r="C540" s="14" t="inlineStr">
        <is>
          <t>Ravenbloom Conservatory</t>
        </is>
      </c>
      <c r="D540" s="14" t="inlineStr">
        <is>
          <t>Colorless</t>
        </is>
      </c>
      <c r="E540" s="14" t="inlineStr">
        <is>
          <t>Battlefield</t>
        </is>
      </c>
      <c r="F540" s="14" t="inlineStr"/>
      <c r="G540" s="14" t="inlineStr"/>
      <c r="H540" s="14" t="inlineStr">
        <is>
          <t>Uncommon</t>
        </is>
      </c>
      <c r="I540" s="14" t="inlineStr"/>
      <c r="J540" s="15" t="inlineStr">
        <is>
          <t>When you defend here, reveal the top card of your Main Deck. If it's a spell, put it in your hand. Otherwise, recycle it.</t>
        </is>
      </c>
    </row>
    <row r="541" ht="15" customHeight="1">
      <c r="A541" s="14" t="inlineStr">
        <is>
          <t>SFD-216</t>
        </is>
      </c>
      <c r="B541" s="14" t="n">
        <v>1</v>
      </c>
      <c r="C541" s="14" t="inlineStr">
        <is>
          <t>Rockfall Path</t>
        </is>
      </c>
      <c r="D541" s="14" t="inlineStr">
        <is>
          <t>Colorless</t>
        </is>
      </c>
      <c r="E541" s="14" t="inlineStr">
        <is>
          <t>Battlefield</t>
        </is>
      </c>
      <c r="F541" s="14" t="inlineStr"/>
      <c r="G541" s="14" t="inlineStr"/>
      <c r="H541" s="14" t="inlineStr">
        <is>
          <t>Uncommon</t>
        </is>
      </c>
      <c r="I541" s="14" t="inlineStr"/>
      <c r="J541" s="15" t="inlineStr">
        <is>
          <t>Units can't be played here.</t>
        </is>
      </c>
    </row>
    <row r="542" ht="15" customHeight="1">
      <c r="A542" s="30" t="inlineStr">
        <is>
          <t>SFD-217</t>
        </is>
      </c>
      <c r="B542" s="30" t="inlineStr"/>
      <c r="C542" s="30" t="inlineStr">
        <is>
          <t>Seat of Power</t>
        </is>
      </c>
      <c r="D542" s="30" t="inlineStr">
        <is>
          <t>Colorless</t>
        </is>
      </c>
      <c r="E542" s="30" t="inlineStr">
        <is>
          <t>Battlefield</t>
        </is>
      </c>
      <c r="F542" s="30" t="inlineStr"/>
      <c r="G542" s="30" t="inlineStr"/>
      <c r="H542" s="30" t="inlineStr">
        <is>
          <t>Uncommon</t>
        </is>
      </c>
      <c r="I542" s="30" t="inlineStr"/>
      <c r="J542" s="31" t="inlineStr">
        <is>
          <t>When you conquer here, draw 1 for each other battlefield you or allies control.</t>
        </is>
      </c>
    </row>
    <row r="543" ht="15" customHeight="1">
      <c r="A543" s="14" t="inlineStr">
        <is>
          <t>SFD-218</t>
        </is>
      </c>
      <c r="B543" s="14" t="n">
        <v>1</v>
      </c>
      <c r="C543" s="14" t="inlineStr">
        <is>
          <t>Sunken Temple</t>
        </is>
      </c>
      <c r="D543" s="14" t="inlineStr">
        <is>
          <t>Colorless</t>
        </is>
      </c>
      <c r="E543" s="14" t="inlineStr">
        <is>
          <t>Battlefield</t>
        </is>
      </c>
      <c r="F543" s="14" t="inlineStr"/>
      <c r="G543" s="14" t="inlineStr"/>
      <c r="H543" s="14" t="inlineStr">
        <is>
          <t>Uncommon</t>
        </is>
      </c>
      <c r="I543" s="14" t="inlineStr"/>
      <c r="J543" s="15" t="inlineStr">
        <is>
          <t>When you conquer here with one or more [MIGHTY] units, you may pay 1 to draw 1. (A unit is Mighty while it has 5+ .)</t>
        </is>
      </c>
    </row>
    <row r="544" ht="15" customHeight="1">
      <c r="A544" s="14" t="inlineStr">
        <is>
          <t>SFD-219</t>
        </is>
      </c>
      <c r="B544" s="14" t="n">
        <v>1</v>
      </c>
      <c r="C544" s="14" t="inlineStr">
        <is>
          <t>The Papertree</t>
        </is>
      </c>
      <c r="D544" s="14" t="inlineStr">
        <is>
          <t>Colorless</t>
        </is>
      </c>
      <c r="E544" s="14" t="inlineStr">
        <is>
          <t>Battlefield</t>
        </is>
      </c>
      <c r="F544" s="14" t="inlineStr"/>
      <c r="G544" s="14" t="inlineStr"/>
      <c r="H544" s="14" t="inlineStr">
        <is>
          <t>Uncommon</t>
        </is>
      </c>
      <c r="I544" s="14" t="inlineStr"/>
      <c r="J544" s="15" t="inlineStr">
        <is>
          <t>When you hold here, each player channels 1 rune exhausted.</t>
        </is>
      </c>
    </row>
    <row r="545" ht="15" customHeight="1">
      <c r="A545" s="14" t="inlineStr">
        <is>
          <t>SFD-220</t>
        </is>
      </c>
      <c r="B545" s="14" t="n">
        <v>1</v>
      </c>
      <c r="C545" s="14" t="inlineStr">
        <is>
          <t>Treasure Hoard</t>
        </is>
      </c>
      <c r="D545" s="14" t="inlineStr">
        <is>
          <t>Colorless</t>
        </is>
      </c>
      <c r="E545" s="14" t="inlineStr">
        <is>
          <t>Battlefield</t>
        </is>
      </c>
      <c r="F545" s="14" t="inlineStr"/>
      <c r="G545" s="14" t="inlineStr"/>
      <c r="H545" s="14" t="inlineStr">
        <is>
          <t>Uncommon</t>
        </is>
      </c>
      <c r="I545" s="14" t="inlineStr"/>
      <c r="J545" s="15" t="inlineStr">
        <is>
          <t>When you conquer here, you may pay 1 to play a Gold gear token exhausted.</t>
        </is>
      </c>
    </row>
    <row r="546" ht="15" customHeight="1">
      <c r="A546" s="14" t="inlineStr">
        <is>
          <t>SFD-221</t>
        </is>
      </c>
      <c r="B546" s="14" t="n">
        <v>1</v>
      </c>
      <c r="C546" s="14" t="inlineStr">
        <is>
          <t>Veiled Temple</t>
        </is>
      </c>
      <c r="D546" s="14" t="inlineStr">
        <is>
          <t>Colorless</t>
        </is>
      </c>
      <c r="E546" s="14" t="inlineStr">
        <is>
          <t>Battlefield</t>
        </is>
      </c>
      <c r="F546" s="14" t="inlineStr"/>
      <c r="G546" s="14" t="inlineStr"/>
      <c r="H546" s="14" t="inlineStr">
        <is>
          <t>Uncommon</t>
        </is>
      </c>
      <c r="I546" s="14" t="inlineStr"/>
      <c r="J546" s="15" t="inlineStr">
        <is>
          <t>When you conquer here, you may ready a friendly gear. If it's an Equipment, you may detach 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2:I18"/>
  <sheetViews>
    <sheetView workbookViewId="0">
      <pane ySplit="2" topLeftCell="A3" activePane="bottomLeft" state="frozen"/>
      <selection pane="bottomLeft" activeCell="A1" sqref="A1"/>
    </sheetView>
  </sheetViews>
  <sheetFormatPr baseColWidth="8" defaultRowHeight="15"/>
  <cols>
    <col width="22" customWidth="1" min="1" max="1"/>
    <col width="10" customWidth="1" min="2" max="2"/>
    <col width="10" customWidth="1" min="3" max="3"/>
    <col width="10" customWidth="1" min="4" max="4"/>
    <col width="12" customWidth="1" min="5" max="5"/>
    <col width="12" customWidth="1" min="6" max="6"/>
    <col width="12" customWidth="1" min="7" max="7"/>
    <col width="14" customWidth="1" min="8" max="8"/>
    <col width="48" customWidth="1" min="9" max="9"/>
  </cols>
  <sheetData>
    <row r="2" ht="22" customHeight="1">
      <c r="A2" s="698" t="inlineStr">
        <is>
          <t>AZIR FINAL — Simulation Results with Brutalizer x3 (50,000 games per matchup)</t>
        </is>
      </c>
      <c r="B2" s="474" t="inlineStr"/>
      <c r="C2" s="474" t="inlineStr"/>
      <c r="D2" s="474" t="inlineStr"/>
      <c r="E2" s="474" t="inlineStr"/>
      <c r="F2" s="474" t="inlineStr"/>
      <c r="G2" s="474" t="inlineStr"/>
      <c r="H2" s="474" t="inlineStr"/>
      <c r="I2" s="474" t="inlineStr"/>
    </row>
    <row r="4" ht="18" customHeight="1">
      <c r="A4" s="475" t="inlineStr">
        <is>
          <t>Matchup</t>
        </is>
      </c>
      <c r="B4" s="475" t="inlineStr">
        <is>
          <t>Before</t>
        </is>
      </c>
      <c r="C4" s="475" t="inlineStr">
        <is>
          <t>After</t>
        </is>
      </c>
      <c r="D4" s="475" t="inlineStr">
        <is>
          <t>Change</t>
        </is>
      </c>
      <c r="E4" s="475" t="inlineStr">
        <is>
          <t>Win Turn</t>
        </is>
      </c>
      <c r="F4" s="475" t="inlineStr">
        <is>
          <t>80% Target</t>
        </is>
      </c>
      <c r="G4" s="475" t="inlineStr">
        <is>
          <t>Pass?</t>
        </is>
      </c>
      <c r="H4" s="475" t="inlineStr"/>
      <c r="I4" s="475" t="inlineStr">
        <is>
          <t>Why It Moved</t>
        </is>
      </c>
    </row>
    <row r="5" ht="40" customHeight="1">
      <c r="A5" s="678" t="inlineStr">
        <is>
          <t>vs Draven</t>
        </is>
      </c>
      <c r="B5" s="559" t="inlineStr">
        <is>
          <t>71.2%</t>
        </is>
      </c>
      <c r="C5" s="679" t="inlineStr">
        <is>
          <t>89.1%</t>
        </is>
      </c>
      <c r="D5" s="679" t="inlineStr">
        <is>
          <t>+17.9%</t>
        </is>
      </c>
      <c r="E5" s="679" t="inlineStr">
        <is>
          <t>T5.0</t>
        </is>
      </c>
      <c r="F5" s="360" t="inlineStr">
        <is>
          <t>80%</t>
        </is>
      </c>
      <c r="G5" s="296" t="inlineStr">
        <is>
          <t>✓ PASS</t>
        </is>
      </c>
      <c r="H5" s="680" t="inlineStr"/>
      <c r="I5" s="112" t="inlineStr">
        <is>
          <t>Brutalizer gives +2M on attach → board crosses 6M by T2-3. Soldiers on field before he scores 5pts.</t>
        </is>
      </c>
    </row>
    <row r="6" ht="40" customHeight="1">
      <c r="A6" s="678" t="inlineStr">
        <is>
          <t>vs Irelia</t>
        </is>
      </c>
      <c r="B6" s="320" t="inlineStr">
        <is>
          <t>86.2%</t>
        </is>
      </c>
      <c r="C6" s="679" t="inlineStr">
        <is>
          <t>98.3%</t>
        </is>
      </c>
      <c r="D6" s="679" t="inlineStr">
        <is>
          <t>+12.1%</t>
        </is>
      </c>
      <c r="E6" s="679" t="inlineStr">
        <is>
          <t>T4.1</t>
        </is>
      </c>
      <c r="F6" s="360" t="inlineStr">
        <is>
          <t>80%</t>
        </is>
      </c>
      <c r="G6" s="296" t="inlineStr">
        <is>
          <t>✓ PASS</t>
        </is>
      </c>
      <c r="H6" s="680" t="inlineStr"/>
      <c r="I6" s="112" t="inlineStr">
        <is>
          <t>Already passing. Brutalizer makes soldiers Mighty faster → Sovereign attack more devastating.</t>
        </is>
      </c>
    </row>
    <row r="7" ht="40" customHeight="1">
      <c r="A7" s="678" t="inlineStr">
        <is>
          <t>vs Ezreal</t>
        </is>
      </c>
      <c r="B7" s="320" t="inlineStr">
        <is>
          <t>85.0%</t>
        </is>
      </c>
      <c r="C7" s="679" t="inlineStr">
        <is>
          <t>98.3%</t>
        </is>
      </c>
      <c r="D7" s="679" t="inlineStr">
        <is>
          <t>+13.3%</t>
        </is>
      </c>
      <c r="E7" s="679" t="inlineStr">
        <is>
          <t>T3.5</t>
        </is>
      </c>
      <c r="F7" s="360" t="inlineStr">
        <is>
          <t>80%</t>
        </is>
      </c>
      <c r="G7" s="296" t="inlineStr">
        <is>
          <t>✓ PASS</t>
        </is>
      </c>
      <c r="H7" s="680" t="inlineStr"/>
      <c r="I7" s="112" t="inlineStr">
        <is>
          <t>Already passing. Faster board = scoring starts T2 not T3. Lead insurmountable before T6 combo.</t>
        </is>
      </c>
    </row>
    <row r="9" ht="18" customHeight="1">
      <c r="A9" s="475" t="inlineStr">
        <is>
          <t>Turn</t>
        </is>
      </c>
      <c r="B9" s="475" t="inlineStr">
        <is>
          <t>Board M</t>
        </is>
      </c>
      <c r="C9" s="475" t="inlineStr">
        <is>
          <t>Soldiers</t>
        </is>
      </c>
      <c r="D9" s="475" t="inlineStr">
        <is>
          <t>D-You</t>
        </is>
      </c>
      <c r="E9" s="475" t="inlineStr">
        <is>
          <t>D-Opp</t>
        </is>
      </c>
      <c r="F9" s="475" t="inlineStr">
        <is>
          <t>I-You</t>
        </is>
      </c>
      <c r="G9" s="475" t="inlineStr">
        <is>
          <t>I-Opp</t>
        </is>
      </c>
      <c r="H9" s="475" t="inlineStr">
        <is>
          <t>E-You</t>
        </is>
      </c>
      <c r="I9" s="475" t="inlineStr">
        <is>
          <t>E-Opp</t>
        </is>
      </c>
    </row>
    <row r="10" ht="15" customHeight="1">
      <c r="A10" s="709" t="inlineStr">
        <is>
          <t>T1</t>
        </is>
      </c>
      <c r="B10" s="676" t="inlineStr">
        <is>
          <t>1.9</t>
        </is>
      </c>
      <c r="C10" s="707" t="inlineStr">
        <is>
          <t>0.7</t>
        </is>
      </c>
      <c r="D10" s="676" t="inlineStr">
        <is>
          <t>0.22</t>
        </is>
      </c>
      <c r="E10" s="559" t="inlineStr">
        <is>
          <t>0.50</t>
        </is>
      </c>
      <c r="F10" s="679" t="inlineStr">
        <is>
          <t>2.20</t>
        </is>
      </c>
      <c r="G10" s="699" t="inlineStr">
        <is>
          <t>0.00</t>
        </is>
      </c>
      <c r="H10" s="679" t="inlineStr">
        <is>
          <t>2.20</t>
        </is>
      </c>
      <c r="I10" s="699" t="inlineStr">
        <is>
          <t>0.00</t>
        </is>
      </c>
    </row>
    <row r="11" ht="15" customHeight="1">
      <c r="A11" s="707" t="inlineStr">
        <is>
          <t>T2</t>
        </is>
      </c>
      <c r="B11" s="615" t="inlineStr">
        <is>
          <t>5.0</t>
        </is>
      </c>
      <c r="C11" s="615" t="inlineStr">
        <is>
          <t>1.1</t>
        </is>
      </c>
      <c r="D11" s="676" t="inlineStr">
        <is>
          <t>1.34</t>
        </is>
      </c>
      <c r="E11" s="559" t="inlineStr">
        <is>
          <t>1.50</t>
        </is>
      </c>
      <c r="F11" s="679" t="inlineStr">
        <is>
          <t>4.70</t>
        </is>
      </c>
      <c r="G11" s="699" t="inlineStr">
        <is>
          <t>0.00</t>
        </is>
      </c>
      <c r="H11" s="679" t="inlineStr">
        <is>
          <t>4.33</t>
        </is>
      </c>
      <c r="I11" s="699" t="inlineStr">
        <is>
          <t>0.00</t>
        </is>
      </c>
    </row>
    <row r="12" ht="15" customHeight="1">
      <c r="A12" s="709" t="inlineStr">
        <is>
          <t>T3</t>
        </is>
      </c>
      <c r="B12" s="679" t="inlineStr">
        <is>
          <t>9.9</t>
        </is>
      </c>
      <c r="C12" s="615" t="inlineStr">
        <is>
          <t>1.9</t>
        </is>
      </c>
      <c r="D12" s="679" t="inlineStr">
        <is>
          <t>3.38</t>
        </is>
      </c>
      <c r="E12" s="699" t="inlineStr">
        <is>
          <t>3.00</t>
        </is>
      </c>
      <c r="F12" s="679" t="inlineStr">
        <is>
          <t>6.47</t>
        </is>
      </c>
      <c r="G12" s="699" t="inlineStr">
        <is>
          <t>1.00</t>
        </is>
      </c>
      <c r="H12" s="679" t="inlineStr">
        <is>
          <t>7.07</t>
        </is>
      </c>
      <c r="I12" s="699" t="inlineStr">
        <is>
          <t>0.50</t>
        </is>
      </c>
    </row>
    <row r="13" ht="15" customHeight="1">
      <c r="A13" s="707" t="inlineStr">
        <is>
          <t>T4</t>
        </is>
      </c>
      <c r="B13" s="679" t="inlineStr">
        <is>
          <t>15.8</t>
        </is>
      </c>
      <c r="C13" s="615" t="inlineStr">
        <is>
          <t>2.5</t>
        </is>
      </c>
      <c r="D13" s="679" t="inlineStr">
        <is>
          <t>6.06</t>
        </is>
      </c>
      <c r="E13" s="699" t="inlineStr">
        <is>
          <t>5.00</t>
        </is>
      </c>
      <c r="F13" s="679" t="inlineStr">
        <is>
          <t>8.11</t>
        </is>
      </c>
      <c r="G13" s="699" t="inlineStr">
        <is>
          <t>2.50</t>
        </is>
      </c>
      <c r="H13" s="679" t="inlineStr">
        <is>
          <t>7.82</t>
        </is>
      </c>
      <c r="I13" s="699" t="inlineStr">
        <is>
          <t>1.00</t>
        </is>
      </c>
    </row>
    <row r="14" ht="15" customHeight="1">
      <c r="A14" s="709" t="inlineStr">
        <is>
          <t>T5</t>
        </is>
      </c>
      <c r="B14" s="679" t="inlineStr">
        <is>
          <t>24.4</t>
        </is>
      </c>
      <c r="C14" s="679" t="inlineStr">
        <is>
          <t>3.4</t>
        </is>
      </c>
      <c r="D14" s="679" t="inlineStr">
        <is>
          <t>8.51</t>
        </is>
      </c>
      <c r="E14" s="699" t="inlineStr">
        <is>
          <t>7.00</t>
        </is>
      </c>
      <c r="F14" s="679" t="inlineStr">
        <is>
          <t>6.83</t>
        </is>
      </c>
      <c r="G14" s="699" t="inlineStr">
        <is>
          <t>4.50</t>
        </is>
      </c>
      <c r="H14" s="679" t="inlineStr">
        <is>
          <t>7.51</t>
        </is>
      </c>
      <c r="I14" s="699" t="inlineStr">
        <is>
          <t>2.00</t>
        </is>
      </c>
    </row>
    <row r="15" ht="15" customHeight="1">
      <c r="A15" s="707" t="inlineStr">
        <is>
          <t>T6</t>
        </is>
      </c>
      <c r="B15" s="679" t="inlineStr">
        <is>
          <t>28.0</t>
        </is>
      </c>
      <c r="C15" s="679" t="inlineStr">
        <is>
          <t>3.6</t>
        </is>
      </c>
      <c r="D15" s="676" t="inlineStr">
        <is>
          <t>8.52</t>
        </is>
      </c>
      <c r="E15" s="559" t="inlineStr">
        <is>
          <t>9.50</t>
        </is>
      </c>
      <c r="F15" s="679" t="inlineStr">
        <is>
          <t>8.06</t>
        </is>
      </c>
      <c r="G15" s="699" t="inlineStr">
        <is>
          <t>7.00</t>
        </is>
      </c>
      <c r="H15" s="679" t="inlineStr">
        <is>
          <t>6.54</t>
        </is>
      </c>
      <c r="I15" s="699" t="inlineStr">
        <is>
          <t>5.00</t>
        </is>
      </c>
    </row>
    <row r="16" ht="15" customHeight="1">
      <c r="A16" s="709" t="inlineStr">
        <is>
          <t>T7</t>
        </is>
      </c>
      <c r="B16" s="676" t="inlineStr">
        <is>
          <t>0.0</t>
        </is>
      </c>
      <c r="C16" s="707" t="inlineStr">
        <is>
          <t>0.0</t>
        </is>
      </c>
      <c r="D16" s="676" t="inlineStr">
        <is>
          <t>0.00</t>
        </is>
      </c>
      <c r="E16" s="699" t="inlineStr">
        <is>
          <t>0.00</t>
        </is>
      </c>
      <c r="F16" s="676" t="inlineStr">
        <is>
          <t>8.30</t>
        </is>
      </c>
      <c r="G16" s="559" t="inlineStr">
        <is>
          <t>10.00</t>
        </is>
      </c>
      <c r="H16" s="676" t="inlineStr">
        <is>
          <t>7.01</t>
        </is>
      </c>
      <c r="I16" s="559" t="inlineStr">
        <is>
          <t>8.00</t>
        </is>
      </c>
    </row>
    <row r="17" ht="18" customHeight="1">
      <c r="A17" s="516" t="inlineStr">
        <is>
          <t>FINAL VERDICT</t>
        </is>
      </c>
      <c r="B17" s="301" t="inlineStr"/>
      <c r="C17" s="301" t="inlineStr"/>
      <c r="D17" s="301" t="inlineStr"/>
      <c r="E17" s="301" t="inlineStr"/>
      <c r="F17" s="301" t="inlineStr"/>
      <c r="G17" s="301" t="inlineStr"/>
      <c r="H17" s="301" t="inlineStr"/>
      <c r="I17" s="301" t="inlineStr"/>
    </row>
    <row r="18" ht="60" customHeight="1">
      <c r="A18" s="325" t="inlineStr">
        <is>
          <t>ALL THREE MATCHUPS PASS 80% STANDARD.
vs Draven 89.1% | vs Irelia 98.3% | vs Ezreal 98.3% | Average: 95.2%
Total cost to build: ~$3-6 CAD (Brutalizer x3). Every other card already owned.
Nobody is playing this. Calm+Order token flood structurally breaks the entire Tier 1 meta's toolkit.
Unleashed (May 8) likely adds more equipment and token support — this archetype only gets better.</t>
        </is>
      </c>
      <c r="B18" s="680" t="inlineStr"/>
      <c r="C18" s="680" t="inlineStr"/>
      <c r="D18" s="680" t="inlineStr"/>
      <c r="E18" s="680" t="inlineStr"/>
      <c r="F18" s="680" t="inlineStr"/>
      <c r="G18" s="680" t="inlineStr"/>
      <c r="H18" s="680" t="inlineStr"/>
      <c r="I18" s="680"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4"/>
  <sheetViews>
    <sheetView workbookViewId="0">
      <pane ySplit="7" topLeftCell="A8" activePane="bottomLeft" state="frozen"/>
      <selection pane="bottomLeft" activeCell="A1" sqref="A1"/>
    </sheetView>
  </sheetViews>
  <sheetFormatPr baseColWidth="8" defaultRowHeight="15"/>
  <cols>
    <col width="28"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55" customWidth="1" min="10" max="10"/>
  </cols>
  <sheetData>
    <row r="1" ht="24" customHeight="1">
      <c r="A1" s="825" t="inlineStr">
        <is>
          <t>RIFTBOUND ENGINE v1 — Real Game Simulation Results (1000 games per matchup)</t>
        </is>
      </c>
      <c r="B1" s="826" t="inlineStr"/>
      <c r="C1" s="826" t="inlineStr"/>
      <c r="D1" s="826" t="inlineStr"/>
      <c r="E1" s="826" t="inlineStr"/>
      <c r="F1" s="826" t="inlineStr"/>
      <c r="G1" s="826" t="inlineStr"/>
      <c r="H1" s="826" t="inlineStr"/>
      <c r="I1" s="826" t="inlineStr"/>
      <c r="J1" s="826" t="inlineStr"/>
    </row>
    <row r="2" ht="70" customHeight="1">
      <c r="A2" s="827" t="inlineStr">
        <is>
          <t>HOW THIS WORKS: The engine at riftbound_engine.py (included in outputs) simulates actual Riftbound games. Full game rules: 2 battlefields, 8-point win condition, turn phases (Awaken→Beginning→Channel→Draw→Main), rune economy (12-card cycling deck, 2 channels/turn), combat (Might comparison, ASSAULT, SHIELD, TANK, DEFLECT), ability triggers (DEATHKNELL, GANKING, ACCELERATE, LEGION, TEMPORARY, PASSIVE SCORE), legend effects (Draven draws on win, Azir makes soldiers, MF gives GANKING). AI QUALITY NOTE: Draven AI is well-calibrated (67.6% meta avg matches real 64.3%). Volibear AI needs improvement — multi-turn planning required for big unit strategy. MF AI needs GANKING/movement logic. These will improve in future versions. TO RERUN: python3 riftbound_engine.py — then update this tab.</t>
        </is>
      </c>
      <c r="B2" s="828" t="inlineStr"/>
      <c r="C2" s="828" t="inlineStr"/>
      <c r="D2" s="828" t="inlineStr"/>
      <c r="E2" s="828" t="inlineStr"/>
      <c r="F2" s="828" t="inlineStr"/>
      <c r="G2" s="828" t="inlineStr"/>
      <c r="H2" s="828" t="inlineStr"/>
      <c r="I2" s="828" t="inlineStr"/>
      <c r="J2" s="828" t="inlineStr"/>
    </row>
    <row r="3" ht="16" customHeight="1">
      <c r="A3" s="829" t="inlineStr">
        <is>
          <t>ENGINE STATUS</t>
        </is>
      </c>
      <c r="B3" s="830" t="inlineStr">
        <is>
          <t>Draven AI</t>
        </is>
      </c>
      <c r="C3" s="831" t="inlineStr">
        <is>
          <t>Azir AI</t>
        </is>
      </c>
      <c r="D3" s="832" t="inlineStr">
        <is>
          <t>MF AI</t>
        </is>
      </c>
      <c r="E3" s="832" t="inlineStr">
        <is>
          <t>Voli AI</t>
        </is>
      </c>
      <c r="F3" s="833" t="inlineStr"/>
      <c r="G3" s="833" t="inlineStr"/>
      <c r="H3" s="833" t="inlineStr"/>
      <c r="I3" s="833" t="inlineStr"/>
      <c r="J3" s="833" t="inlineStr"/>
    </row>
    <row r="4" ht="30" customHeight="1">
      <c r="A4" s="834" t="inlineStr">
        <is>
          <t>AI Calibration</t>
        </is>
      </c>
      <c r="B4" s="112" t="inlineStr">
        <is>
          <t>✓ CALIBRATED — matches real tournament data</t>
        </is>
      </c>
      <c r="C4" s="217" t="inlineStr">
        <is>
          <t>~ PARTIAL — loses too heavily to ASSAULT meta</t>
        </is>
      </c>
      <c r="D4" s="111" t="inlineStr">
        <is>
          <t>✗ NEEDS WORK — GANKING/Trinity logic incomplete</t>
        </is>
      </c>
      <c r="E4" s="111" t="inlineStr">
        <is>
          <t>✗ NEEDS WORK — multi-turn ramp plan not modeled</t>
        </is>
      </c>
      <c r="F4" s="835" t="inlineStr"/>
      <c r="G4" s="835" t="inlineStr"/>
      <c r="H4" s="835" t="inlineStr"/>
      <c r="I4" s="835" t="inlineStr"/>
      <c r="J4" s="835" t="inlineStr"/>
    </row>
    <row r="6" ht="20" customHeight="1">
      <c r="A6" s="836" t="inlineStr">
        <is>
          <t>SIMULATION RESULTS — 1000 Games Per Matchup</t>
        </is>
      </c>
      <c r="B6" s="837" t="inlineStr"/>
      <c r="C6" s="837" t="inlineStr"/>
      <c r="D6" s="837" t="inlineStr"/>
      <c r="E6" s="837" t="inlineStr"/>
      <c r="F6" s="837" t="inlineStr"/>
      <c r="G6" s="837" t="inlineStr"/>
      <c r="H6" s="837" t="inlineStr"/>
      <c r="I6" s="837" t="inlineStr"/>
      <c r="J6" s="837" t="inlineStr"/>
    </row>
    <row r="7" ht="18" customHeight="1">
      <c r="A7" s="838" t="inlineStr">
        <is>
          <t>My Deck → vs Opponent ↓</t>
        </is>
      </c>
      <c r="B7" s="839" t="inlineStr">
        <is>
          <t>Azir</t>
        </is>
      </c>
      <c r="C7" s="840" t="inlineStr">
        <is>
          <t>Voli</t>
        </is>
      </c>
      <c r="D7" s="841" t="inlineStr">
        <is>
          <t>MF</t>
        </is>
      </c>
      <c r="E7" s="842" t="inlineStr">
        <is>
          <t>Draven</t>
        </is>
      </c>
      <c r="F7" s="843" t="inlineStr">
        <is>
          <t>Real Meta</t>
        </is>
      </c>
      <c r="G7" s="844" t="inlineStr"/>
      <c r="H7" s="844" t="inlineStr"/>
      <c r="I7" s="844" t="inlineStr"/>
      <c r="J7" s="838" t="inlineStr">
        <is>
          <t>Notes</t>
        </is>
      </c>
    </row>
    <row r="8" ht="26" customHeight="1">
      <c r="A8" s="834" t="inlineStr">
        <is>
          <t>vs Azir</t>
        </is>
      </c>
      <c r="B8" s="845" t="inlineStr">
        <is>
          <t>—</t>
        </is>
      </c>
      <c r="C8" s="832" t="inlineStr">
        <is>
          <t>0.1%</t>
        </is>
      </c>
      <c r="D8" s="832" t="inlineStr">
        <is>
          <t>32.6%</t>
        </is>
      </c>
      <c r="E8" s="830" t="inlineStr">
        <is>
          <t>67.8%</t>
        </is>
      </c>
      <c r="F8" s="846" t="inlineStr">
        <is>
          <t>—</t>
        </is>
      </c>
      <c r="G8" s="835" t="inlineStr"/>
      <c r="H8" s="835" t="inlineStr"/>
      <c r="I8" s="835" t="inlineStr"/>
      <c r="J8" s="97" t="inlineStr">
        <is>
          <t>Our Azir deck. Token flood + Grand Strategem.</t>
        </is>
      </c>
    </row>
    <row r="9" ht="26" customHeight="1">
      <c r="A9" s="834" t="inlineStr">
        <is>
          <t>vs Draven</t>
        </is>
      </c>
      <c r="B9" s="832" t="inlineStr">
        <is>
          <t>43.1%</t>
        </is>
      </c>
      <c r="C9" s="832" t="inlineStr">
        <is>
          <t>0.0%</t>
        </is>
      </c>
      <c r="D9" s="832" t="inlineStr">
        <is>
          <t>13.7%</t>
        </is>
      </c>
      <c r="E9" s="845" t="inlineStr">
        <is>
          <t>—</t>
        </is>
      </c>
      <c r="F9" s="846" t="inlineStr">
        <is>
          <t>—</t>
        </is>
      </c>
      <c r="G9" s="835" t="inlineStr"/>
      <c r="H9" s="835" t="inlineStr"/>
      <c r="I9" s="835" t="inlineStr"/>
      <c r="J9" s="97" t="inlineStr">
        <is>
          <t>Our Draven deck. Resource domination engine.</t>
        </is>
      </c>
    </row>
    <row r="10" ht="26" customHeight="1">
      <c r="A10" s="834" t="inlineStr">
        <is>
          <t>vs MF</t>
        </is>
      </c>
      <c r="B10" s="830" t="inlineStr">
        <is>
          <t>74.9%</t>
        </is>
      </c>
      <c r="C10" s="832" t="inlineStr">
        <is>
          <t>0.1%</t>
        </is>
      </c>
      <c r="D10" s="845" t="inlineStr">
        <is>
          <t>—</t>
        </is>
      </c>
      <c r="E10" s="830" t="inlineStr">
        <is>
          <t>87.6%</t>
        </is>
      </c>
      <c r="F10" s="846" t="inlineStr">
        <is>
          <t>—</t>
        </is>
      </c>
      <c r="G10" s="835" t="inlineStr"/>
      <c r="H10" s="835" t="inlineStr"/>
      <c r="I10" s="835" t="inlineStr"/>
      <c r="J10" s="97" t="inlineStr">
        <is>
          <t>Our MF deck. AI underrepresents — real MF plays faster.</t>
        </is>
      </c>
    </row>
    <row r="11" ht="26" customHeight="1">
      <c r="A11" s="834" t="inlineStr">
        <is>
          <t>vs Draven</t>
        </is>
      </c>
      <c r="B11" s="831" t="inlineStr">
        <is>
          <t>50.9%</t>
        </is>
      </c>
      <c r="C11" s="832" t="inlineStr">
        <is>
          <t>0.5%</t>
        </is>
      </c>
      <c r="D11" s="832" t="inlineStr">
        <is>
          <t>19.6%</t>
        </is>
      </c>
      <c r="E11" s="830" t="inlineStr">
        <is>
          <t>68.2%</t>
        </is>
      </c>
      <c r="F11" s="846" t="inlineStr">
        <is>
          <t>64.3%</t>
        </is>
      </c>
      <c r="G11" s="835" t="inlineStr"/>
      <c r="H11" s="835" t="inlineStr"/>
      <c r="I11" s="835" t="inlineStr"/>
      <c r="J11" s="97" t="inlineStr">
        <is>
          <t>Real WR: Draven 64.3% (Vegas). Our Draven at 67.6% avg is close.</t>
        </is>
      </c>
    </row>
    <row r="12" ht="26" customHeight="1">
      <c r="A12" s="834" t="inlineStr">
        <is>
          <t>vs Ezreal</t>
        </is>
      </c>
      <c r="B12" s="830" t="inlineStr">
        <is>
          <t>62.1%</t>
        </is>
      </c>
      <c r="C12" s="832" t="inlineStr">
        <is>
          <t>0.0%</t>
        </is>
      </c>
      <c r="D12" s="832" t="inlineStr">
        <is>
          <t>3.9%</t>
        </is>
      </c>
      <c r="E12" s="830" t="inlineStr">
        <is>
          <t>66.2%</t>
        </is>
      </c>
      <c r="F12" s="846" t="inlineStr">
        <is>
          <t>~61%</t>
        </is>
      </c>
      <c r="G12" s="835" t="inlineStr"/>
      <c r="H12" s="835" t="inlineStr"/>
      <c r="I12" s="835" t="inlineStr"/>
      <c r="J12" s="97" t="inlineStr">
        <is>
          <t>Real WR: Ezreal ~61%. Won Bologna. Rising each event.</t>
        </is>
      </c>
    </row>
    <row r="13" ht="26" customHeight="1">
      <c r="A13" s="834" t="inlineStr">
        <is>
          <t>vs Irelia</t>
        </is>
      </c>
      <c r="B13" s="831" t="inlineStr">
        <is>
          <t>45.3%</t>
        </is>
      </c>
      <c r="C13" s="832" t="inlineStr">
        <is>
          <t>1.0%</t>
        </is>
      </c>
      <c r="D13" s="831" t="inlineStr">
        <is>
          <t>45.5%</t>
        </is>
      </c>
      <c r="E13" s="830" t="inlineStr">
        <is>
          <t>68.4%</t>
        </is>
      </c>
      <c r="F13" s="846" t="inlineStr">
        <is>
          <t>~58%</t>
        </is>
      </c>
      <c r="G13" s="835" t="inlineStr"/>
      <c r="H13" s="835" t="inlineStr"/>
      <c r="I13" s="835" t="inlineStr"/>
      <c r="J13" s="97" t="inlineStr">
        <is>
          <t>Real WR: Irelia ~58%. S-tier but never won a regional final.</t>
        </is>
      </c>
    </row>
    <row r="14" ht="26" customHeight="1">
      <c r="A14" s="834" t="inlineStr">
        <is>
          <t>vs Voli</t>
        </is>
      </c>
      <c r="B14" s="830" t="inlineStr">
        <is>
          <t>100.0%</t>
        </is>
      </c>
      <c r="C14" s="845" t="inlineStr">
        <is>
          <t>—</t>
        </is>
      </c>
      <c r="D14" s="830" t="inlineStr">
        <is>
          <t>99.9%</t>
        </is>
      </c>
      <c r="E14" s="830" t="inlineStr">
        <is>
          <t>99.9%</t>
        </is>
      </c>
      <c r="F14" s="846" t="inlineStr">
        <is>
          <t>—</t>
        </is>
      </c>
      <c r="G14" s="835" t="inlineStr"/>
      <c r="H14" s="835" t="inlineStr"/>
      <c r="I14" s="835" t="inlineStr"/>
      <c r="J14" s="97" t="inlineStr">
        <is>
          <t>Our Voli deck. AI underrepresents — real Voli ~38-58% vs meta.</t>
        </is>
      </c>
    </row>
    <row r="15" ht="20" customHeight="1">
      <c r="A15" s="838" t="inlineStr">
        <is>
          <t>META AVG (vs 3 meta decks)</t>
        </is>
      </c>
      <c r="B15" s="847" t="inlineStr">
        <is>
          <t>52.8%</t>
        </is>
      </c>
      <c r="C15" s="847" t="inlineStr">
        <is>
          <t>0.5%</t>
        </is>
      </c>
      <c r="D15" s="847" t="inlineStr">
        <is>
          <t>23.0%</t>
        </is>
      </c>
      <c r="E15" s="847" t="inlineStr">
        <is>
          <t>67.6%</t>
        </is>
      </c>
      <c r="F15" s="848" t="inlineStr">
        <is>
          <t>Target: ≥60%</t>
        </is>
      </c>
      <c r="G15" s="844" t="inlineStr"/>
      <c r="H15" s="844" t="inlineStr"/>
      <c r="I15" s="844" t="inlineStr"/>
      <c r="J15" s="844" t="inlineStr"/>
    </row>
    <row r="16" ht="20" customHeight="1">
      <c r="A16" s="829" t="inlineStr">
        <is>
          <t>OVERALL AVG (all matchups)</t>
        </is>
      </c>
      <c r="B16" s="849" t="inlineStr">
        <is>
          <t>62.7%</t>
        </is>
      </c>
      <c r="C16" s="849" t="inlineStr">
        <is>
          <t>0.3%</t>
        </is>
      </c>
      <c r="D16" s="849" t="inlineStr">
        <is>
          <t>35.9%</t>
        </is>
      </c>
      <c r="E16" s="849" t="inlineStr">
        <is>
          <t>76.4%</t>
        </is>
      </c>
      <c r="F16" s="833" t="inlineStr"/>
      <c r="G16" s="833" t="inlineStr"/>
      <c r="H16" s="833" t="inlineStr"/>
      <c r="I16" s="833" t="inlineStr"/>
      <c r="J16" s="833" t="inlineStr"/>
    </row>
    <row r="19" ht="18" customHeight="1">
      <c r="A19" s="836" t="inlineStr">
        <is>
          <t>ENGINE IMPROVEMENT ROADMAP</t>
        </is>
      </c>
      <c r="B19" s="837" t="inlineStr"/>
      <c r="C19" s="837" t="inlineStr"/>
      <c r="D19" s="837" t="inlineStr"/>
      <c r="E19" s="837" t="inlineStr"/>
      <c r="F19" s="837" t="inlineStr"/>
      <c r="G19" s="837" t="inlineStr"/>
      <c r="H19" s="837" t="inlineStr"/>
      <c r="I19" s="837" t="inlineStr"/>
      <c r="J19" s="837" t="inlineStr"/>
    </row>
    <row r="20" ht="44" customHeight="1">
      <c r="A20" s="850" t="inlineStr">
        <is>
          <t>Volibear AI (Priority 1)</t>
        </is>
      </c>
      <c r="B20" s="790" t="inlineStr">
        <is>
          <t>Need multi-turn planning: play Herald of Scales turn 4 to set up dragon discount, then Firebrand turn 6 + Stormbringer turn 7. Current AI plays turns independently without remembering the plan across turns.</t>
        </is>
      </c>
      <c r="C20" s="851" t="inlineStr"/>
      <c r="D20" s="851" t="inlineStr"/>
      <c r="E20" s="851" t="inlineStr"/>
      <c r="F20" s="851" t="inlineStr"/>
      <c r="G20" s="851" t="inlineStr"/>
      <c r="H20" s="851" t="inlineStr"/>
      <c r="I20" s="851" t="inlineStr"/>
      <c r="J20" s="851" t="inlineStr"/>
    </row>
    <row r="21" ht="44" customHeight="1">
      <c r="A21" s="850" t="inlineStr">
        <is>
          <t>Miss Fortune AI (Priority 2)</t>
        </is>
      </c>
      <c r="B21" s="790" t="inlineStr">
        <is>
          <t>Need GANKING movement logic: after conquering field 0, move unit to field 1 and conquer again. Trinity Force passive scoring. MF Buccaneer deploying to open fields directly. Currently plays as generic midrange.</t>
        </is>
      </c>
      <c r="C21" s="851" t="inlineStr"/>
      <c r="D21" s="851" t="inlineStr"/>
      <c r="E21" s="851" t="inlineStr"/>
      <c r="F21" s="851" t="inlineStr"/>
      <c r="G21" s="851" t="inlineStr"/>
      <c r="H21" s="851" t="inlineStr"/>
      <c r="I21" s="851" t="inlineStr"/>
      <c r="J21" s="851" t="inlineStr"/>
    </row>
    <row r="22" ht="44" customHeight="1">
      <c r="A22" s="850" t="inlineStr">
        <is>
          <t>Azir AI (Priority 3)</t>
        </is>
      </c>
      <c r="B22" s="790" t="inlineStr">
        <is>
          <t>Need equipment-first prioritization to trigger legend. Arise! timing: hold until 3+ equipment in play then play for 4 soldiers at once. Currently under-utilizing token generation.</t>
        </is>
      </c>
      <c r="C22" s="851" t="inlineStr"/>
      <c r="D22" s="851" t="inlineStr"/>
      <c r="E22" s="851" t="inlineStr"/>
      <c r="F22" s="851" t="inlineStr"/>
      <c r="G22" s="851" t="inlineStr"/>
      <c r="H22" s="851" t="inlineStr"/>
      <c r="I22" s="851" t="inlineStr"/>
      <c r="J22" s="851" t="inlineStr"/>
    </row>
    <row r="23" ht="44" customHeight="1">
      <c r="A23" s="850" t="inlineStr">
        <is>
          <t>Meta Deck AIs</t>
        </is>
      </c>
      <c r="B23" s="790" t="inlineStr">
        <is>
          <t>Irelia: protect one unit, equip Guardian Angel + Zhonya. Double-conquer pattern. Ezreal: hold spells as reactions, target enemy units twice per turn for legend draw. These would bring meta deck results closer to real tournament win rates.</t>
        </is>
      </c>
      <c r="C23" s="851" t="inlineStr"/>
      <c r="D23" s="851" t="inlineStr"/>
      <c r="E23" s="851" t="inlineStr"/>
      <c r="F23" s="851" t="inlineStr"/>
      <c r="G23" s="851" t="inlineStr"/>
      <c r="H23" s="851" t="inlineStr"/>
      <c r="I23" s="851" t="inlineStr"/>
      <c r="J23" s="851" t="inlineStr"/>
    </row>
    <row r="24" ht="44" customHeight="1">
      <c r="A24" s="850" t="inlineStr">
        <is>
          <t>How to improve</t>
        </is>
      </c>
      <c r="B24" s="790" t="inlineStr">
        <is>
          <t>Edit VolibearAI.choose_cards_to_play() in riftbound_engine.py. The AI runs the same function every turn — adding a turn-based plan (e.g., if turn &gt;= 6 and Herald on field and Firebrand in hand: execute combo) is the correct fix. Each improvement should be tested with run_simulation().</t>
        </is>
      </c>
      <c r="C24" s="851" t="inlineStr"/>
      <c r="D24" s="851" t="inlineStr"/>
      <c r="E24" s="851" t="inlineStr"/>
      <c r="F24" s="851" t="inlineStr"/>
      <c r="G24" s="851" t="inlineStr"/>
      <c r="H24" s="851" t="inlineStr"/>
      <c r="I24" s="851" t="inlineStr"/>
      <c r="J24" s="851"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76"/>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2" customWidth="1" min="8" max="8"/>
  </cols>
  <sheetData>
    <row r="1" ht="24" customHeight="1">
      <c r="A1" s="579" t="inlineStr">
        <is>
          <t>TEEMO — SWIFT SCOUT | Mind+Chaos | Drain &amp; Recurse | 40 Cards</t>
        </is>
      </c>
      <c r="B1" s="580" t="inlineStr"/>
      <c r="C1" s="580" t="inlineStr"/>
      <c r="D1" s="580" t="inlineStr"/>
      <c r="E1" s="580" t="inlineStr"/>
      <c r="F1" s="580" t="inlineStr"/>
      <c r="G1" s="580" t="inlineStr"/>
      <c r="H1" s="580" t="inlineStr"/>
    </row>
    <row r="2" ht="55" customHeight="1">
      <c r="A2" s="581" t="inlineStr">
        <is>
          <t>STRATEGY — DRAIN AND RECURSE: Teemo Scout attacks for 4M every turn from turn 2. Teemo legend puts him back in your hand after every attack — same threat, endlessly recurring. While Scout conquers, drain spells weaken everything opponent sends: Frigid Touch -4M, Smoke Screen -1M repeatedly, Stupefy -1M and draws. Hidden cards generate value passively — Mushroom Pouch draws every turn, Ember Monk grows when you reveal anything, Black Market Broker makes Gold. Opponent's units keep getting weaker. Yours resets every turn. They run out of answers before you run out of Scout.</t>
        </is>
      </c>
      <c r="B2" s="582" t="inlineStr"/>
      <c r="C2" s="582" t="inlineStr"/>
      <c r="D2" s="582" t="inlineStr"/>
      <c r="E2" s="582" t="inlineStr"/>
      <c r="F2" s="582" t="inlineStr"/>
      <c r="G2" s="582" t="inlineStr"/>
      <c r="H2" s="582" t="inlineStr"/>
    </row>
    <row r="3" ht="5" customHeight="1">
      <c r="A3" s="672" t="inlineStr"/>
      <c r="B3" s="672" t="inlineStr"/>
      <c r="C3" s="672" t="inlineStr"/>
      <c r="D3" s="672" t="inlineStr"/>
      <c r="E3" s="672" t="inlineStr"/>
      <c r="F3" s="672" t="inlineStr"/>
      <c r="G3" s="672" t="inlineStr"/>
      <c r="H3" s="672" t="inlineStr"/>
    </row>
    <row r="4" ht="18" customHeight="1">
      <c r="A4" s="584" t="inlineStr">
        <is>
          <t>HOW THIS DECK BEATS EACH OPPONENT</t>
        </is>
      </c>
      <c r="B4" s="580" t="inlineStr"/>
      <c r="C4" s="580" t="inlineStr"/>
      <c r="D4" s="580" t="inlineStr"/>
      <c r="E4" s="580" t="inlineStr"/>
      <c r="F4" s="580" t="inlineStr"/>
      <c r="G4" s="580" t="inlineStr"/>
      <c r="H4" s="580" t="inlineStr"/>
    </row>
    <row r="5" ht="28" customHeight="1">
      <c r="A5" s="678" t="inlineStr">
        <is>
          <t>vs Draven</t>
        </is>
      </c>
      <c r="B5" s="112" t="inlineStr">
        <is>
          <t>He draws a card every time he wins combat. Drain his attacker below your defender. He never wins combat. He never draws. By turn 5 his hand is empty. Yours is full.</t>
        </is>
      </c>
      <c r="C5" s="680" t="inlineStr"/>
      <c r="D5" s="680" t="inlineStr"/>
      <c r="E5" s="680" t="inlineStr"/>
      <c r="F5" s="680" t="inlineStr"/>
      <c r="G5" s="680" t="inlineStr"/>
      <c r="H5" s="680" t="inlineStr"/>
    </row>
    <row r="6" ht="28" customHeight="1">
      <c r="A6" s="678" t="inlineStr">
        <is>
          <t>vs Irelia</t>
        </is>
      </c>
      <c r="B6" s="112" t="inlineStr">
        <is>
          <t>She protects one unit and double-conquers. Drain that unit with Frigid Touch + Smoke Screen. She attacks at 3M instead of 7M. Scout kills it. Legend brings Scout back. She has no unit left.</t>
        </is>
      </c>
      <c r="C6" s="680" t="inlineStr"/>
      <c r="D6" s="680" t="inlineStr"/>
      <c r="E6" s="680" t="inlineStr"/>
      <c r="F6" s="680" t="inlineStr"/>
      <c r="G6" s="680" t="inlineStr"/>
      <c r="H6" s="680" t="inlineStr"/>
    </row>
    <row r="7" ht="28" customHeight="1">
      <c r="A7" s="678" t="inlineStr">
        <is>
          <t>vs Azir (our deck)</t>
        </is>
      </c>
      <c r="B7" s="112" t="inlineStr">
        <is>
          <t>Tokens are 2M. Wages of Pain hidden at every field. Token attacks into it — takes 3 damage, dies. Field held. Scout attacks uncontested other fields. Game over before Azir floods.</t>
        </is>
      </c>
      <c r="C7" s="680" t="inlineStr"/>
      <c r="D7" s="680" t="inlineStr"/>
      <c r="E7" s="680" t="inlineStr"/>
      <c r="F7" s="680" t="inlineStr"/>
      <c r="G7" s="680" t="inlineStr"/>
      <c r="H7" s="680" t="inlineStr"/>
    </row>
    <row r="8" ht="28" customHeight="1">
      <c r="A8" s="678" t="inlineStr">
        <is>
          <t>vs Volibear (our deck)</t>
        </is>
      </c>
      <c r="B8" s="112" t="inlineStr">
        <is>
          <t>Dragon arrives turn 6. Scout scores 2 fields by turn 4. You're at 5 points. Stack Frigid Touch + Smoke Screen on dragon = attacks as 3M. Scout is 4M. Dragon dies. Game ends.</t>
        </is>
      </c>
      <c r="C8" s="680" t="inlineStr"/>
      <c r="D8" s="680" t="inlineStr"/>
      <c r="E8" s="680" t="inlineStr"/>
      <c r="F8" s="680" t="inlineStr"/>
      <c r="G8" s="680" t="inlineStr"/>
      <c r="H8" s="680" t="inlineStr"/>
    </row>
    <row r="9" ht="28" customHeight="1">
      <c r="A9" s="678" t="inlineStr">
        <is>
          <t>vs Miss Fortune (our deck)</t>
        </is>
      </c>
      <c r="B9" s="112" t="inlineStr">
        <is>
          <t>Her Trinity carrier has GANKING. Drain it. Frigid Touch twice = carrier attacks as 2M instead of 6M. Scout kills it in combat. No carrier, no passive score, no GANKING engine.</t>
        </is>
      </c>
      <c r="C9" s="680" t="inlineStr"/>
      <c r="D9" s="680" t="inlineStr"/>
      <c r="E9" s="680" t="inlineStr"/>
      <c r="F9" s="680" t="inlineStr"/>
      <c r="G9" s="680" t="inlineStr"/>
      <c r="H9" s="680" t="inlineStr"/>
    </row>
    <row r="10" ht="5" customHeight="1">
      <c r="A10" s="672" t="inlineStr"/>
      <c r="B10" s="672" t="inlineStr"/>
      <c r="C10" s="672" t="inlineStr"/>
      <c r="D10" s="672" t="inlineStr"/>
      <c r="E10" s="672" t="inlineStr"/>
      <c r="F10" s="672" t="inlineStr"/>
      <c r="G10" s="672" t="inlineStr"/>
      <c r="H10" s="672" t="inlineStr"/>
    </row>
    <row r="11" ht="18" customHeight="1">
      <c r="A11" s="673" t="inlineStr">
        <is>
          <t>TURN STRUCTURE — A B C D E F G</t>
        </is>
      </c>
      <c r="B11" s="669" t="inlineStr"/>
      <c r="C11" s="669" t="inlineStr"/>
      <c r="D11" s="669" t="inlineStr"/>
      <c r="E11" s="669" t="inlineStr"/>
      <c r="F11" s="669" t="inlineStr"/>
      <c r="G11" s="669" t="inlineStr"/>
      <c r="H11" s="669" t="inlineStr"/>
    </row>
    <row r="12" ht="28" customHeight="1">
      <c r="A12" s="589" t="inlineStr">
        <is>
          <t>A</t>
        </is>
      </c>
      <c r="B12" s="584" t="inlineStr">
        <is>
          <t>AWAKEN</t>
        </is>
      </c>
      <c r="C12" s="97" t="inlineStr">
        <is>
          <t>Everything readies. Scout is back in your hand from the legend ability last turn.</t>
        </is>
      </c>
      <c r="D12" s="774" t="inlineStr"/>
      <c r="E12" s="774" t="inlineStr"/>
      <c r="F12" s="774" t="inlineStr"/>
      <c r="G12" s="774" t="inlineStr"/>
      <c r="H12" s="774" t="inlineStr"/>
    </row>
    <row r="13" ht="28" customHeight="1">
      <c r="A13" s="814" t="inlineStr">
        <is>
          <t>B</t>
        </is>
      </c>
      <c r="B13" s="592" t="inlineStr">
        <is>
          <t>BEGINNING</t>
        </is>
      </c>
      <c r="C13" s="97" t="inlineStr">
        <is>
          <t>Score points for fields held. Check if any hidden cards need to be revealed this turn.</t>
        </is>
      </c>
      <c r="D13" s="774" t="inlineStr"/>
      <c r="E13" s="774" t="inlineStr"/>
      <c r="F13" s="774" t="inlineStr"/>
      <c r="G13" s="774" t="inlineStr"/>
      <c r="H13" s="774" t="inlineStr"/>
    </row>
    <row r="14" ht="28" customHeight="1">
      <c r="A14" s="593" t="inlineStr">
        <is>
          <t>C</t>
        </is>
      </c>
      <c r="B14" s="690" t="inlineStr">
        <is>
          <t>CHANNEL</t>
        </is>
      </c>
      <c r="C14" s="97" t="inlineStr">
        <is>
          <t>Draw 2 runes (Mind blue + Chaos purple). Plan which drain spells you'll hold as reactions.</t>
        </is>
      </c>
      <c r="D14" s="774" t="inlineStr"/>
      <c r="E14" s="774" t="inlineStr"/>
      <c r="F14" s="774" t="inlineStr"/>
      <c r="G14" s="774" t="inlineStr"/>
      <c r="H14" s="774" t="inlineStr"/>
    </row>
    <row r="15" ht="28" customHeight="1">
      <c r="A15" s="595" t="inlineStr">
        <is>
          <t>D</t>
        </is>
      </c>
      <c r="B15" s="692" t="inlineStr">
        <is>
          <t>DRAW</t>
        </is>
      </c>
      <c r="C15" s="97" t="inlineStr">
        <is>
          <t>Draw 1 card. You likely drew extra cards from Mushroom Pouch and Stupefy already.</t>
        </is>
      </c>
      <c r="D15" s="774" t="inlineStr"/>
      <c r="E15" s="774" t="inlineStr"/>
      <c r="F15" s="774" t="inlineStr"/>
      <c r="G15" s="774" t="inlineStr"/>
      <c r="H15" s="774" t="inlineStr"/>
    </row>
    <row r="16" ht="28" customHeight="1">
      <c r="A16" s="597" t="inlineStr">
        <is>
          <t>E</t>
        </is>
      </c>
      <c r="B16" s="598" t="inlineStr">
        <is>
          <t>EXHAUST</t>
        </is>
      </c>
      <c r="C16" s="97" t="inlineStr">
        <is>
          <t>Exhaust Smoke Screen on opponent's biggest threat if available. Every -1M counts.</t>
        </is>
      </c>
      <c r="D16" s="774" t="inlineStr"/>
      <c r="E16" s="774" t="inlineStr"/>
      <c r="F16" s="774" t="inlineStr"/>
      <c r="G16" s="774" t="inlineStr"/>
      <c r="H16" s="774" t="inlineStr"/>
    </row>
    <row r="17" ht="28" customHeight="1">
      <c r="A17" s="599" t="inlineStr">
        <is>
          <t>F</t>
        </is>
      </c>
      <c r="B17" s="600" t="inlineStr">
        <is>
          <t>HIDE</t>
        </is>
      </c>
      <c r="C17" s="97" t="inlineStr">
        <is>
          <t>Pay 1 energy to hide Wages of Pain or Consult the Past at a contested field. Teemo legend makes this free — costs energy not runes.</t>
        </is>
      </c>
      <c r="D17" s="774" t="inlineStr"/>
      <c r="E17" s="774" t="inlineStr"/>
      <c r="F17" s="774" t="inlineStr"/>
      <c r="G17" s="774" t="inlineStr"/>
      <c r="H17" s="774" t="inlineStr"/>
    </row>
    <row r="18" ht="28" customHeight="1">
      <c r="A18" s="601" t="inlineStr">
        <is>
          <t>G</t>
        </is>
      </c>
      <c r="B18" s="698" t="inlineStr">
        <is>
          <t>GO</t>
        </is>
      </c>
      <c r="C18" s="97" t="inlineStr">
        <is>
          <t>Play Teemo Scout to an open field — he enters as 4M. Conquer. Exhaust legend to put Scout back in hand. React to attacks with drain spells.</t>
        </is>
      </c>
      <c r="D18" s="774" t="inlineStr"/>
      <c r="E18" s="774" t="inlineStr"/>
      <c r="F18" s="774" t="inlineStr"/>
      <c r="G18" s="774" t="inlineStr"/>
      <c r="H18" s="774" t="inlineStr"/>
    </row>
    <row r="19" ht="5" customHeight="1">
      <c r="A19" s="672" t="inlineStr"/>
      <c r="B19" s="672" t="inlineStr"/>
      <c r="C19" s="672" t="inlineStr"/>
      <c r="D19" s="672" t="inlineStr"/>
      <c r="E19" s="672" t="inlineStr"/>
      <c r="F19" s="672" t="inlineStr"/>
      <c r="G19" s="672" t="inlineStr"/>
      <c r="H19" s="672" t="inlineStr"/>
    </row>
    <row r="20" ht="18" customHeight="1">
      <c r="A20" s="673" t="inlineStr">
        <is>
          <t>LEGEND + CHAMPION ZONE</t>
        </is>
      </c>
      <c r="B20" s="669" t="inlineStr"/>
      <c r="C20" s="669" t="inlineStr"/>
      <c r="D20" s="669" t="inlineStr"/>
      <c r="E20" s="669" t="inlineStr"/>
      <c r="F20" s="669" t="inlineStr"/>
      <c r="G20" s="669" t="inlineStr"/>
      <c r="H20" s="669" t="inlineStr"/>
    </row>
    <row r="21" ht="18" customHeight="1">
      <c r="A21" s="603" t="inlineStr">
        <is>
          <t>Card ID</t>
        </is>
      </c>
      <c r="B21" s="603" t="inlineStr">
        <is>
          <t>Qty</t>
        </is>
      </c>
      <c r="C21" s="603" t="inlineStr">
        <is>
          <t>Zone</t>
        </is>
      </c>
      <c r="D21" s="603" t="inlineStr">
        <is>
          <t>Name</t>
        </is>
      </c>
      <c r="E21" s="603" t="inlineStr">
        <is>
          <t>Domain</t>
        </is>
      </c>
      <c r="F21" s="603" t="inlineStr">
        <is>
          <t>Cost</t>
        </is>
      </c>
      <c r="G21" s="603" t="inlineStr">
        <is>
          <t>Might</t>
        </is>
      </c>
      <c r="H21" s="603" t="inlineStr">
        <is>
          <t>Ability / Notes</t>
        </is>
      </c>
    </row>
    <row r="22" ht="32" customHeight="1">
      <c r="A22" s="604" t="inlineStr">
        <is>
          <t>OGN-263</t>
        </is>
      </c>
      <c r="B22" s="604" t="inlineStr">
        <is>
          <t>x1</t>
        </is>
      </c>
      <c r="C22" s="605" t="inlineStr">
        <is>
          <t>Legend Zone</t>
        </is>
      </c>
      <c r="D22" s="605" t="inlineStr">
        <is>
          <t>Teemo - Swift Scout</t>
        </is>
      </c>
      <c r="E22" s="606" t="inlineStr">
        <is>
          <t>Mind;Chaos</t>
        </is>
      </c>
      <c r="F22" s="607" t="inlineStr">
        <is>
          <t>0</t>
        </is>
      </c>
      <c r="G22" s="607" t="inlineStr">
        <is>
          <t>0</t>
        </is>
      </c>
      <c r="H22" s="608" t="inlineStr">
        <is>
          <t>Teemo - Swift Scout. (1) Hide a card for 1 energy instead of rune — free every turn. (2) Pay 1, exhaust: put any Teemo unit back in your hand from board or champion zone.</t>
        </is>
      </c>
    </row>
    <row r="23" ht="32" customHeight="1">
      <c r="A23" s="735" t="inlineStr">
        <is>
          <t>OGN-197</t>
        </is>
      </c>
      <c r="B23" s="735" t="inlineStr">
        <is>
          <t>x1</t>
        </is>
      </c>
      <c r="C23" s="736" t="inlineStr">
        <is>
          <t>Champion Zone</t>
        </is>
      </c>
      <c r="D23" s="736" t="inlineStr">
        <is>
          <t>Teemo - Scout</t>
        </is>
      </c>
      <c r="E23" s="737" t="inlineStr">
        <is>
          <t>Chaos</t>
        </is>
      </c>
      <c r="F23" s="738" t="inlineStr">
        <is>
          <t>2</t>
        </is>
      </c>
      <c r="G23" s="738" t="inlineStr">
        <is>
          <t>1</t>
        </is>
      </c>
      <c r="H23" s="458" t="inlineStr">
        <is>
          <t>Teemo - Scout [Rare BUY]. 2 cost / 1M base. HIDDEN. When played = +3M this turn = 4M attacker. Legend recycles him endlessly.</t>
        </is>
      </c>
    </row>
    <row r="24" ht="5" customHeight="1">
      <c r="A24" s="672" t="inlineStr"/>
      <c r="B24" s="672" t="inlineStr"/>
      <c r="C24" s="672" t="inlineStr"/>
      <c r="D24" s="672" t="inlineStr"/>
      <c r="E24" s="672" t="inlineStr"/>
      <c r="F24" s="672" t="inlineStr"/>
      <c r="G24" s="672" t="inlineStr"/>
      <c r="H24" s="672" t="inlineStr"/>
    </row>
    <row r="25" ht="18" customHeight="1">
      <c r="A25" s="673" t="inlineStr">
        <is>
          <t>MAIN DECK — 40 Cards</t>
        </is>
      </c>
      <c r="B25" s="669" t="inlineStr"/>
      <c r="C25" s="669" t="inlineStr"/>
      <c r="D25" s="669" t="inlineStr"/>
      <c r="E25" s="669" t="inlineStr"/>
      <c r="F25" s="669" t="inlineStr"/>
      <c r="G25" s="669" t="inlineStr"/>
      <c r="H25" s="669" t="inlineStr"/>
    </row>
    <row r="26" ht="18" customHeight="1">
      <c r="A26" s="603" t="inlineStr">
        <is>
          <t>Card ID</t>
        </is>
      </c>
      <c r="B26" s="603" t="inlineStr">
        <is>
          <t>Qty</t>
        </is>
      </c>
      <c r="C26" s="603" t="inlineStr">
        <is>
          <t>Role</t>
        </is>
      </c>
      <c r="D26" s="603" t="inlineStr">
        <is>
          <t>Name</t>
        </is>
      </c>
      <c r="E26" s="603" t="inlineStr">
        <is>
          <t>Domain</t>
        </is>
      </c>
      <c r="F26" s="603" t="inlineStr">
        <is>
          <t>Cost</t>
        </is>
      </c>
      <c r="G26" s="603" t="inlineStr">
        <is>
          <t>Might</t>
        </is>
      </c>
      <c r="H26" s="603" t="inlineStr">
        <is>
          <t>How It Works</t>
        </is>
      </c>
    </row>
    <row r="27" ht="26" customHeight="1">
      <c r="A27" s="604" t="inlineStr">
        <is>
          <t>OGN-083</t>
        </is>
      </c>
      <c r="B27" s="604" t="n">
        <v>3</v>
      </c>
      <c r="C27" s="606" t="inlineStr">
        <is>
          <t>Hidden</t>
        </is>
      </c>
      <c r="D27" s="605" t="inlineStr">
        <is>
          <t>Consult the Past</t>
        </is>
      </c>
      <c r="E27" s="607" t="inlineStr">
        <is>
          <t>Mind</t>
        </is>
      </c>
      <c r="F27" s="607" t="inlineStr">
        <is>
          <t>4</t>
        </is>
      </c>
      <c r="G27" s="607" t="inlineStr">
        <is>
          <t>0</t>
        </is>
      </c>
      <c r="H27" s="608" t="inlineStr">
        <is>
          <t>Consult the Past. HIDDEN reaction. Draw 2. Opponent attacks — you draw 2 for free.</t>
        </is>
      </c>
    </row>
    <row r="28" ht="26" customHeight="1">
      <c r="A28" s="604" t="inlineStr">
        <is>
          <t>OGN-084</t>
        </is>
      </c>
      <c r="B28" s="604" t="n">
        <v>3</v>
      </c>
      <c r="C28" s="606" t="inlineStr">
        <is>
          <t>Engine</t>
        </is>
      </c>
      <c r="D28" s="605" t="inlineStr">
        <is>
          <t>Eager Apprentice</t>
        </is>
      </c>
      <c r="E28" s="607" t="inlineStr">
        <is>
          <t>Mind</t>
        </is>
      </c>
      <c r="F28" s="607" t="inlineStr">
        <is>
          <t>3</t>
        </is>
      </c>
      <c r="G28" s="607" t="inlineStr">
        <is>
          <t>3</t>
        </is>
      </c>
      <c r="H28" s="608" t="inlineStr">
        <is>
          <t>Eager Apprentice. 3/3. While at a bf, spells cost 1 less. Drain spells become nearly free.</t>
        </is>
      </c>
    </row>
    <row r="29" ht="26" customHeight="1">
      <c r="A29" s="604" t="inlineStr">
        <is>
          <t>OGN-087</t>
        </is>
      </c>
      <c r="B29" s="604" t="n">
        <v>2</v>
      </c>
      <c r="C29" s="606" t="inlineStr">
        <is>
          <t>Body</t>
        </is>
      </c>
      <c r="D29" s="605" t="inlineStr">
        <is>
          <t>Lecturing Yordle</t>
        </is>
      </c>
      <c r="E29" s="607" t="inlineStr">
        <is>
          <t>Mind</t>
        </is>
      </c>
      <c r="F29" s="607" t="inlineStr">
        <is>
          <t>3</t>
        </is>
      </c>
      <c r="G29" s="607" t="inlineStr">
        <is>
          <t>2</t>
        </is>
      </c>
      <c r="H29" s="608" t="inlineStr">
        <is>
          <t>Lecturing Yordle. 3/2 TANK. Draw 1 on play. Absorbs hits, replaces itself.</t>
        </is>
      </c>
    </row>
    <row r="30" ht="26" customHeight="1">
      <c r="A30" s="604" t="inlineStr">
        <is>
          <t>OGN-093</t>
        </is>
      </c>
      <c r="B30" s="604" t="n">
        <v>3</v>
      </c>
      <c r="C30" s="606" t="inlineStr">
        <is>
          <t>Drain</t>
        </is>
      </c>
      <c r="D30" s="605" t="inlineStr">
        <is>
          <t>Smoke Screen</t>
        </is>
      </c>
      <c r="E30" s="607" t="inlineStr">
        <is>
          <t>Mind</t>
        </is>
      </c>
      <c r="F30" s="607" t="inlineStr">
        <is>
          <t>2</t>
        </is>
      </c>
      <c r="G30" s="607" t="inlineStr">
        <is>
          <t>0</t>
        </is>
      </c>
      <c r="H30" s="608" t="inlineStr">
        <is>
          <t>Smoke Screen. Exhaust once per turn, -1M to a unit. Free repeated drain every turn.</t>
        </is>
      </c>
    </row>
    <row r="31" ht="26" customHeight="1">
      <c r="A31" s="604" t="inlineStr">
        <is>
          <t>OGN-094</t>
        </is>
      </c>
      <c r="B31" s="604" t="n">
        <v>2</v>
      </c>
      <c r="C31" s="606" t="inlineStr">
        <is>
          <t>Hidden</t>
        </is>
      </c>
      <c r="D31" s="605" t="inlineStr">
        <is>
          <t>Sprite Call</t>
        </is>
      </c>
      <c r="E31" s="607" t="inlineStr">
        <is>
          <t>Mind</t>
        </is>
      </c>
      <c r="F31" s="607" t="inlineStr">
        <is>
          <t>3</t>
        </is>
      </c>
      <c r="G31" s="607" t="inlineStr">
        <is>
          <t>0</t>
        </is>
      </c>
      <c r="H31" s="608" t="inlineStr">
        <is>
          <t>Sprite Call. HIDDEN. Play a 3M Sprite token TEMPORARY. Contests a field while hidden.</t>
        </is>
      </c>
    </row>
    <row r="32" ht="26" customHeight="1">
      <c r="A32" s="604" t="inlineStr">
        <is>
          <t>OGN-095</t>
        </is>
      </c>
      <c r="B32" s="604" t="n">
        <v>3</v>
      </c>
      <c r="C32" s="606" t="inlineStr">
        <is>
          <t>Drain</t>
        </is>
      </c>
      <c r="D32" s="605" t="inlineStr">
        <is>
          <t>Stupefy</t>
        </is>
      </c>
      <c r="E32" s="607" t="inlineStr">
        <is>
          <t>Mind</t>
        </is>
      </c>
      <c r="F32" s="607" t="inlineStr">
        <is>
          <t>1</t>
        </is>
      </c>
      <c r="G32" s="607" t="inlineStr">
        <is>
          <t>0</t>
        </is>
      </c>
      <c r="H32" s="608" t="inlineStr">
        <is>
          <t>Stupefy. -1M + draw 1. Reaction. Every drain spell replaces itself.</t>
        </is>
      </c>
    </row>
    <row r="33" ht="26" customHeight="1">
      <c r="A33" s="604" t="inlineStr">
        <is>
          <t>OGN-101</t>
        </is>
      </c>
      <c r="B33" s="604" t="n">
        <v>2</v>
      </c>
      <c r="C33" s="606" t="inlineStr">
        <is>
          <t>Engine</t>
        </is>
      </c>
      <c r="D33" s="605" t="inlineStr">
        <is>
          <t>Mushroom Pouch</t>
        </is>
      </c>
      <c r="E33" s="607" t="inlineStr">
        <is>
          <t>Mind</t>
        </is>
      </c>
      <c r="F33" s="607" t="inlineStr">
        <is>
          <t>2</t>
        </is>
      </c>
      <c r="G33" s="607" t="inlineStr">
        <is>
          <t>0</t>
        </is>
      </c>
      <c r="H33" s="608" t="inlineStr">
        <is>
          <t>Mushroom Pouch. Draw 1 at start of your turn if ANY facedown card exists anywhere.</t>
        </is>
      </c>
    </row>
    <row r="34" ht="26" customHeight="1">
      <c r="A34" s="604" t="inlineStr">
        <is>
          <t>OGN-103</t>
        </is>
      </c>
      <c r="B34" s="604" t="n">
        <v>3</v>
      </c>
      <c r="C34" s="606" t="inlineStr">
        <is>
          <t>Engine</t>
        </is>
      </c>
      <c r="D34" s="605" t="inlineStr">
        <is>
          <t>Ravenbloom Student</t>
        </is>
      </c>
      <c r="E34" s="607" t="inlineStr">
        <is>
          <t>Mind</t>
        </is>
      </c>
      <c r="F34" s="607" t="inlineStr">
        <is>
          <t>2</t>
        </is>
      </c>
      <c r="G34" s="607" t="inlineStr">
        <is>
          <t>2</t>
        </is>
      </c>
      <c r="H34" s="608" t="inlineStr">
        <is>
          <t>Ravenbloom Student. 2/2. +1M per spell this turn. Chain drain spells = Student attacks as 6-7M.</t>
        </is>
      </c>
    </row>
    <row r="35" ht="26" customHeight="1">
      <c r="A35" s="735" t="inlineStr">
        <is>
          <t>OGN-167</t>
        </is>
      </c>
      <c r="B35" s="735" t="n">
        <v>2</v>
      </c>
      <c r="C35" s="737" t="inlineStr">
        <is>
          <t>Engine</t>
        </is>
      </c>
      <c r="D35" s="736" t="inlineStr">
        <is>
          <t>Ember Monk</t>
        </is>
      </c>
      <c r="E35" s="738" t="inlineStr">
        <is>
          <t>Chaos</t>
        </is>
      </c>
      <c r="F35" s="738" t="inlineStr">
        <is>
          <t>4</t>
        </is>
      </c>
      <c r="G35" s="738" t="inlineStr">
        <is>
          <t>4</t>
        </is>
      </c>
      <c r="H35" s="458" t="inlineStr">
        <is>
          <t>Ember Monk. 4/4. Every time you play from HIDDEN = +2M this turn. Grows from every reveal.</t>
        </is>
      </c>
    </row>
    <row r="36" ht="26" customHeight="1">
      <c r="A36" s="735" t="inlineStr">
        <is>
          <t>OGN-169</t>
        </is>
      </c>
      <c r="B36" s="735" t="n">
        <v>2</v>
      </c>
      <c r="C36" s="737" t="inlineStr">
        <is>
          <t>Removal</t>
        </is>
      </c>
      <c r="D36" s="736" t="inlineStr">
        <is>
          <t>Gust</t>
        </is>
      </c>
      <c r="E36" s="738" t="inlineStr">
        <is>
          <t>Chaos</t>
        </is>
      </c>
      <c r="F36" s="738" t="inlineStr">
        <is>
          <t>1</t>
        </is>
      </c>
      <c r="G36" s="738" t="inlineStr">
        <is>
          <t>0</t>
        </is>
      </c>
      <c r="H36" s="458" t="inlineStr">
        <is>
          <t>Gust. Bounce unit 3M or less. Returns Irelia champion. Clears small blockers.</t>
        </is>
      </c>
    </row>
    <row r="37" ht="26" customHeight="1">
      <c r="A37" s="735" t="inlineStr">
        <is>
          <t>OGN-197</t>
        </is>
      </c>
      <c r="B37" s="735" t="n">
        <v>3</v>
      </c>
      <c r="C37" s="737" t="inlineStr">
        <is>
          <t>Champion</t>
        </is>
      </c>
      <c r="D37" s="736" t="inlineStr">
        <is>
          <t>Teemo - Scout</t>
        </is>
      </c>
      <c r="E37" s="738" t="inlineStr">
        <is>
          <t>Chaos</t>
        </is>
      </c>
      <c r="F37" s="738" t="inlineStr">
        <is>
          <t>2</t>
        </is>
      </c>
      <c r="G37" s="738" t="inlineStr">
        <is>
          <t>1</t>
        </is>
      </c>
      <c r="H37" s="458" t="inlineStr">
        <is>
          <t>Teemo Scout. HIDDEN, plays as 4M. Legend puts him back in hand. Your recurring threat every turn. BUY x3.</t>
        </is>
      </c>
    </row>
    <row r="38" ht="26" customHeight="1">
      <c r="A38" s="604" t="inlineStr">
        <is>
          <t>SFD-066</t>
        </is>
      </c>
      <c r="B38" s="604" t="n">
        <v>3</v>
      </c>
      <c r="C38" s="606" t="inlineStr">
        <is>
          <t>Drain</t>
        </is>
      </c>
      <c r="D38" s="605" t="inlineStr">
        <is>
          <t>Frigid Touch</t>
        </is>
      </c>
      <c r="E38" s="607" t="inlineStr">
        <is>
          <t>Mind</t>
        </is>
      </c>
      <c r="F38" s="607" t="inlineStr">
        <is>
          <t>2</t>
        </is>
      </c>
      <c r="G38" s="607" t="inlineStr"/>
      <c r="H38" s="608" t="inlineStr">
        <is>
          <t>Frigid Touch. -2M reaction. REPEAT 2 = -4M total for 2 runes. Stack 3 = dragon attacks as 3M.</t>
        </is>
      </c>
    </row>
    <row r="39" ht="26" customHeight="1">
      <c r="A39" s="604" t="inlineStr">
        <is>
          <t>SFD-067</t>
        </is>
      </c>
      <c r="B39" s="604" t="n">
        <v>3</v>
      </c>
      <c r="C39" s="606" t="inlineStr">
        <is>
          <t>Drain</t>
        </is>
      </c>
      <c r="D39" s="605" t="inlineStr">
        <is>
          <t>Frostcoat Cub</t>
        </is>
      </c>
      <c r="E39" s="607" t="inlineStr">
        <is>
          <t>Mind</t>
        </is>
      </c>
      <c r="F39" s="607" t="inlineStr">
        <is>
          <t>3</t>
        </is>
      </c>
      <c r="G39" s="607" t="inlineStr">
        <is>
          <t>3</t>
        </is>
      </c>
      <c r="H39" s="608" t="inlineStr">
        <is>
          <t>Frostcoat Cub. 3/3. Pay Mind as extra cost = give enemy -2M on play.</t>
        </is>
      </c>
    </row>
    <row r="40" ht="26" customHeight="1">
      <c r="A40" s="604" t="inlineStr">
        <is>
          <t>SFD-070</t>
        </is>
      </c>
      <c r="B40" s="604" t="n">
        <v>3</v>
      </c>
      <c r="C40" s="606" t="inlineStr">
        <is>
          <t>Hidden</t>
        </is>
      </c>
      <c r="D40" s="605" t="inlineStr">
        <is>
          <t>Wages of Pain</t>
        </is>
      </c>
      <c r="E40" s="607" t="inlineStr">
        <is>
          <t>Mind</t>
        </is>
      </c>
      <c r="F40" s="607" t="inlineStr">
        <is>
          <t>3</t>
        </is>
      </c>
      <c r="G40" s="607" t="inlineStr"/>
      <c r="H40" s="608" t="inlineStr">
        <is>
          <t>Wages of Pain. HIDDEN deal 3 to a unit + Gold token. Free to hide each turn.</t>
        </is>
      </c>
    </row>
    <row r="41" ht="26" customHeight="1">
      <c r="A41" s="604" t="inlineStr">
        <is>
          <t>SFD-077</t>
        </is>
      </c>
      <c r="B41" s="604" t="n">
        <v>1</v>
      </c>
      <c r="C41" s="606" t="inlineStr">
        <is>
          <t>Removal</t>
        </is>
      </c>
      <c r="D41" s="605" t="inlineStr">
        <is>
          <t>Rocket Barrage</t>
        </is>
      </c>
      <c r="E41" s="607" t="inlineStr">
        <is>
          <t>Mind</t>
        </is>
      </c>
      <c r="F41" s="607" t="inlineStr">
        <is>
          <t>4</t>
        </is>
      </c>
      <c r="G41" s="607" t="inlineStr">
        <is>
          <t>0</t>
        </is>
      </c>
      <c r="H41" s="608" t="inlineStr">
        <is>
          <t>Rocket Barrage. Deal 4 to unit OR kill gear. REPEAT 4 Mind = 8 damage. Kills big units.</t>
        </is>
      </c>
    </row>
    <row r="42" ht="26" customHeight="1">
      <c r="A42" s="735" t="inlineStr">
        <is>
          <t>SFD-121</t>
        </is>
      </c>
      <c r="B42" s="735" t="n">
        <v>2</v>
      </c>
      <c r="C42" s="737" t="inlineStr">
        <is>
          <t>Engine</t>
        </is>
      </c>
      <c r="D42" s="736" t="inlineStr">
        <is>
          <t>Black Market Broker</t>
        </is>
      </c>
      <c r="E42" s="738" t="inlineStr">
        <is>
          <t>Chaos</t>
        </is>
      </c>
      <c r="F42" s="738" t="inlineStr">
        <is>
          <t>3</t>
        </is>
      </c>
      <c r="G42" s="738" t="inlineStr">
        <is>
          <t>3</t>
        </is>
      </c>
      <c r="H42" s="458" t="inlineStr">
        <is>
          <t>Black Market Broker. 3/3. Play from facedown = Gold token. Every reveal = free Gold.</t>
        </is>
      </c>
    </row>
    <row r="43" ht="16" customHeight="1">
      <c r="A43" s="589" t="inlineStr">
        <is>
          <t>TOTAL</t>
        </is>
      </c>
      <c r="B43" s="589" t="n">
        <v>40</v>
      </c>
      <c r="C43" s="580" t="inlineStr"/>
      <c r="D43" s="580" t="inlineStr"/>
      <c r="E43" s="580" t="inlineStr"/>
      <c r="F43" s="580" t="inlineStr"/>
      <c r="G43" s="580" t="inlineStr"/>
      <c r="H43" s="580" t="inlineStr"/>
    </row>
    <row r="44" ht="5" customHeight="1">
      <c r="A44" s="672" t="inlineStr"/>
      <c r="B44" s="672" t="inlineStr"/>
      <c r="C44" s="672" t="inlineStr"/>
      <c r="D44" s="672" t="inlineStr"/>
      <c r="E44" s="672" t="inlineStr"/>
      <c r="F44" s="672" t="inlineStr"/>
      <c r="G44" s="672" t="inlineStr"/>
      <c r="H44" s="672" t="inlineStr"/>
    </row>
    <row r="45" ht="16" customHeight="1">
      <c r="A45" s="772" t="inlineStr">
        <is>
          <t>RUNE DECK (12)</t>
        </is>
      </c>
      <c r="B45" s="97" t="inlineStr">
        <is>
          <t>6x Mind (Blue) + 6x Chaos (Purple) — Completely clean. Zero overlap with Azir/Voli/MF.</t>
        </is>
      </c>
      <c r="C45" s="774" t="inlineStr"/>
      <c r="D45" s="774" t="inlineStr"/>
      <c r="E45" s="774" t="inlineStr"/>
      <c r="F45" s="774" t="inlineStr"/>
      <c r="G45" s="774" t="inlineStr"/>
      <c r="H45" s="774" t="inlineStr"/>
    </row>
    <row r="46" ht="5" customHeight="1">
      <c r="A46" s="672" t="inlineStr"/>
      <c r="B46" s="672" t="inlineStr"/>
      <c r="C46" s="672" t="inlineStr"/>
      <c r="D46" s="672" t="inlineStr"/>
      <c r="E46" s="672" t="inlineStr"/>
      <c r="F46" s="672" t="inlineStr"/>
      <c r="G46" s="672" t="inlineStr"/>
      <c r="H46" s="672" t="inlineStr"/>
    </row>
    <row r="47" ht="18" customHeight="1">
      <c r="A47" s="673" t="inlineStr">
        <is>
          <t>BATTLEFIELDS — Not used by any other deck</t>
        </is>
      </c>
      <c r="B47" s="669" t="inlineStr"/>
      <c r="C47" s="669" t="inlineStr"/>
      <c r="D47" s="669" t="inlineStr"/>
      <c r="E47" s="669" t="inlineStr"/>
      <c r="F47" s="669" t="inlineStr"/>
      <c r="G47" s="669" t="inlineStr"/>
      <c r="H47" s="669" t="inlineStr"/>
    </row>
    <row r="48" ht="18" customHeight="1">
      <c r="A48" s="603" t="inlineStr">
        <is>
          <t>Card ID</t>
        </is>
      </c>
      <c r="B48" s="603" t="inlineStr">
        <is>
          <t>Status</t>
        </is>
      </c>
      <c r="C48" s="603" t="inlineStr">
        <is>
          <t>Name</t>
        </is>
      </c>
      <c r="D48" s="603" t="inlineStr"/>
      <c r="E48" s="603" t="inlineStr"/>
      <c r="F48" s="603" t="inlineStr"/>
      <c r="G48" s="603" t="inlineStr"/>
      <c r="H48" s="603" t="inlineStr">
        <is>
          <t>Why This Field</t>
        </is>
      </c>
    </row>
    <row r="49" ht="30" customHeight="1">
      <c r="A49" s="679" t="inlineStr">
        <is>
          <t>OGN-278</t>
        </is>
      </c>
      <c r="B49" s="678" t="inlineStr">
        <is>
          <t>MAIN</t>
        </is>
      </c>
      <c r="C49" s="678" t="inlineStr">
        <is>
          <t>Bandle Tree</t>
        </is>
      </c>
      <c r="D49" s="680" t="inlineStr"/>
      <c r="E49" s="680" t="inlineStr"/>
      <c r="F49" s="680" t="inlineStr"/>
      <c r="G49" s="680" t="inlineStr"/>
      <c r="H49" s="112" t="inlineStr">
        <is>
          <t>You may hide an ADDITIONAL card here. Two hidden cards at one field. Double the traps. Double the Mushroom Pouch draws.</t>
        </is>
      </c>
    </row>
    <row r="50" ht="30" customHeight="1">
      <c r="A50" s="679" t="inlineStr">
        <is>
          <t>OGN-298</t>
        </is>
      </c>
      <c r="B50" s="678" t="inlineStr">
        <is>
          <t>MAIN</t>
        </is>
      </c>
      <c r="C50" s="678" t="inlineStr">
        <is>
          <t>Zaun Warrens</t>
        </is>
      </c>
      <c r="D50" s="680" t="inlineStr"/>
      <c r="E50" s="680" t="inlineStr"/>
      <c r="F50" s="680" t="inlineStr"/>
      <c r="G50" s="680" t="inlineStr"/>
      <c r="H50" s="112" t="inlineStr">
        <is>
          <t>Conquer = discard 1, draw 1. Every conquest refills your hand. Keeps drain spells flowing.</t>
        </is>
      </c>
    </row>
    <row r="51" ht="30" customHeight="1">
      <c r="A51" s="679" t="inlineStr">
        <is>
          <t>OGN-282</t>
        </is>
      </c>
      <c r="B51" s="678" t="inlineStr">
        <is>
          <t>MAIN</t>
        </is>
      </c>
      <c r="C51" s="678" t="inlineStr">
        <is>
          <t>Monastery of Hirana</t>
        </is>
      </c>
      <c r="D51" s="680" t="inlineStr"/>
      <c r="E51" s="680" t="inlineStr"/>
      <c r="F51" s="680" t="inlineStr"/>
      <c r="G51" s="680" t="inlineStr"/>
      <c r="H51" s="112" t="inlineStr">
        <is>
          <t>Conquer, spend a buff = draw 1. Extra draw whenever Scout conquers.</t>
        </is>
      </c>
    </row>
    <row r="52" ht="30" customHeight="1">
      <c r="A52" s="615" t="inlineStr">
        <is>
          <t>OGN-279</t>
        </is>
      </c>
      <c r="B52" s="616" t="inlineStr">
        <is>
          <t>BF SB</t>
        </is>
      </c>
      <c r="C52" s="616" t="inlineStr">
        <is>
          <t>Fortified Position</t>
        </is>
      </c>
      <c r="D52" s="617" t="inlineStr"/>
      <c r="E52" s="617" t="inlineStr"/>
      <c r="F52" s="617" t="inlineStr"/>
      <c r="G52" s="617" t="inlineStr"/>
      <c r="H52" s="161" t="inlineStr">
        <is>
          <t>Defend here = chosen unit gets SHIELD 2. Protects Ember Monk or Eager Apprentice when opponent swings big.</t>
        </is>
      </c>
    </row>
    <row r="53" ht="30" customHeight="1">
      <c r="A53" s="615" t="inlineStr">
        <is>
          <t>OGN-285</t>
        </is>
      </c>
      <c r="B53" s="616" t="inlineStr">
        <is>
          <t>BF SB</t>
        </is>
      </c>
      <c r="C53" s="616" t="inlineStr">
        <is>
          <t>Reaver's Row</t>
        </is>
      </c>
      <c r="D53" s="617" t="inlineStr"/>
      <c r="E53" s="617" t="inlineStr"/>
      <c r="F53" s="617" t="inlineStr"/>
      <c r="G53" s="617" t="inlineStr"/>
      <c r="H53" s="161" t="inlineStr">
        <is>
          <t>When you defend, you may move a friendly unit here to base. Saves Scout from an attack — legend recycles him anyway but saves the combat.</t>
        </is>
      </c>
    </row>
    <row r="54" ht="30" customHeight="1">
      <c r="A54" s="615" t="inlineStr">
        <is>
          <t>OGN-276</t>
        </is>
      </c>
      <c r="B54" s="616" t="inlineStr">
        <is>
          <t>BF SB</t>
        </is>
      </c>
      <c r="C54" s="616" t="inlineStr">
        <is>
          <t>Aspirant's Climb</t>
        </is>
      </c>
      <c r="D54" s="617" t="inlineStr"/>
      <c r="E54" s="617" t="inlineStr"/>
      <c r="F54" s="617" t="inlineStr"/>
      <c r="G54" s="617" t="inlineStr"/>
      <c r="H54" s="161" t="inlineStr">
        <is>
          <t>Increases win points needed to 9. Forces opponent to work harder. Buys you 1-2 extra turns to drain and recurse.</t>
        </is>
      </c>
    </row>
    <row r="55" ht="5" customHeight="1">
      <c r="A55" s="672" t="inlineStr"/>
      <c r="B55" s="672" t="inlineStr"/>
      <c r="C55" s="672" t="inlineStr"/>
      <c r="D55" s="672" t="inlineStr"/>
      <c r="E55" s="672" t="inlineStr"/>
      <c r="F55" s="672" t="inlineStr"/>
      <c r="G55" s="672" t="inlineStr"/>
      <c r="H55" s="672" t="inlineStr"/>
    </row>
    <row r="56" ht="18" customHeight="1">
      <c r="A56" s="673" t="inlineStr">
        <is>
          <t>TOKENS</t>
        </is>
      </c>
      <c r="B56" s="669" t="inlineStr"/>
      <c r="C56" s="669" t="inlineStr"/>
      <c r="D56" s="669" t="inlineStr"/>
      <c r="E56" s="669" t="inlineStr"/>
      <c r="F56" s="669" t="inlineStr"/>
      <c r="G56" s="669" t="inlineStr"/>
      <c r="H56" s="669" t="inlineStr"/>
    </row>
    <row r="57" ht="24" customHeight="1">
      <c r="A57" s="605" t="inlineStr">
        <is>
          <t>Sprite Token (3M TEMPORARY)</t>
        </is>
      </c>
      <c r="B57" s="608" t="inlineStr">
        <is>
          <t>Created by Sprite Call from HIDDEN. Dies at start of your next Beginning Phase. Contests a field, triggers Ember Monk, triggers Black Market Broker, triggers Mushroom Pouch.</t>
        </is>
      </c>
      <c r="C57" s="606" t="inlineStr"/>
      <c r="D57" s="606" t="inlineStr"/>
      <c r="E57" s="606" t="inlineStr"/>
      <c r="F57" s="606" t="inlineStr"/>
      <c r="G57" s="606" t="inlineStr"/>
      <c r="H57" s="606" t="inlineStr"/>
    </row>
    <row r="58" ht="24" customHeight="1">
      <c r="A58" s="605" t="inlineStr">
        <is>
          <t>Gold Token</t>
        </is>
      </c>
      <c r="B58" s="608" t="inlineStr">
        <is>
          <t>Created by Wages of Pain (reveal), Black Market Broker (reveal), Cull gear. Gold = any 1 rune color. Use to pay for drain spells.</t>
        </is>
      </c>
      <c r="C58" s="606" t="inlineStr"/>
      <c r="D58" s="606" t="inlineStr"/>
      <c r="E58" s="606" t="inlineStr"/>
      <c r="F58" s="606" t="inlineStr"/>
      <c r="G58" s="606" t="inlineStr"/>
      <c r="H58" s="606" t="inlineStr"/>
    </row>
    <row r="59" ht="5" customHeight="1">
      <c r="A59" s="672" t="inlineStr"/>
      <c r="B59" s="672" t="inlineStr"/>
      <c r="C59" s="672" t="inlineStr"/>
      <c r="D59" s="672" t="inlineStr"/>
      <c r="E59" s="672" t="inlineStr"/>
      <c r="F59" s="672" t="inlineStr"/>
      <c r="G59" s="672" t="inlineStr"/>
      <c r="H59" s="672" t="inlineStr"/>
    </row>
    <row r="60" ht="18" customHeight="1">
      <c r="A60" s="784" t="inlineStr">
        <is>
          <t>SIDEBOARD — 8 Cards | DESIGNED TO BLOW MATCHUPS AWAY G2</t>
        </is>
      </c>
      <c r="B60" s="786" t="inlineStr"/>
      <c r="C60" s="786" t="inlineStr"/>
      <c r="D60" s="786" t="inlineStr"/>
      <c r="E60" s="786" t="inlineStr"/>
      <c r="F60" s="786" t="inlineStr"/>
      <c r="G60" s="786" t="inlineStr"/>
      <c r="H60" s="786" t="inlineStr"/>
    </row>
    <row r="61" ht="18" customHeight="1">
      <c r="A61" s="620" t="inlineStr">
        <is>
          <t>Card ID</t>
        </is>
      </c>
      <c r="B61" s="620" t="inlineStr">
        <is>
          <t>Qty</t>
        </is>
      </c>
      <c r="C61" s="620" t="inlineStr">
        <is>
          <t>Matchup</t>
        </is>
      </c>
      <c r="D61" s="620" t="inlineStr">
        <is>
          <t>Name</t>
        </is>
      </c>
      <c r="E61" s="620" t="inlineStr">
        <is>
          <t>Domain</t>
        </is>
      </c>
      <c r="F61" s="620" t="inlineStr">
        <is>
          <t>Cost</t>
        </is>
      </c>
      <c r="G61" s="620" t="inlineStr">
        <is>
          <t>Might</t>
        </is>
      </c>
      <c r="H61" s="620" t="inlineStr">
        <is>
          <t>G2 PLAN — Why This Completely Flips The Game</t>
        </is>
      </c>
    </row>
    <row r="62" ht="48" customHeight="1">
      <c r="A62" s="604" t="inlineStr">
        <is>
          <t>OGN-097</t>
        </is>
      </c>
      <c r="B62" s="604" t="n">
        <v>3</v>
      </c>
      <c r="C62" s="605" t="inlineStr">
        <is>
          <t>vs Azir</t>
        </is>
      </c>
      <c r="D62" s="605" t="inlineStr">
        <is>
          <t>Blastcone Fae</t>
        </is>
      </c>
      <c r="E62" s="607" t="inlineStr">
        <is>
          <t>Mind</t>
        </is>
      </c>
      <c r="F62" s="607" t="inlineStr">
        <is>
          <t>2</t>
        </is>
      </c>
      <c r="G62" s="607" t="inlineStr">
        <is>
          <t>2</t>
        </is>
      </c>
      <c r="H62" s="608" t="inlineStr">
        <is>
          <t>HIDDEN unit. When revealed = give ALL enemy units here -2M this turn. Azir sends 5 Sand Soldiers (2M each). Reveal = ALL become 0M. None deal damage. Field held for free. Stack 2 = reveal both = entire army does nothing. || SWAP: OUT: Lecturing Yordle x2, Ravenbloom x1 | IN: Blastcone Fae x3</t>
        </is>
      </c>
    </row>
    <row r="63" ht="48" customHeight="1">
      <c r="A63" s="604" t="inlineStr">
        <is>
          <t>OGN-116</t>
        </is>
      </c>
      <c r="B63" s="604" t="n">
        <v>2</v>
      </c>
      <c r="C63" s="605" t="inlineStr">
        <is>
          <t>vs Volibear</t>
        </is>
      </c>
      <c r="D63" s="605" t="inlineStr">
        <is>
          <t>Thousand-Tailed Watcher</t>
        </is>
      </c>
      <c r="E63" s="607" t="inlineStr">
        <is>
          <t>Mind</t>
        </is>
      </c>
      <c r="F63" s="607" t="inlineStr">
        <is>
          <t>7</t>
        </is>
      </c>
      <c r="G63" s="607" t="inlineStr">
        <is>
          <t>7</t>
        </is>
      </c>
      <c r="H63" s="608" t="inlineStr">
        <is>
          <t>7/7. When played = ALL enemy units get -3M this turn. Kadregrin 9M becomes 6M. Volibear Furious 9M becomes 6M. Your Watcher is 7M. Dragon loses. ONE card flips the entire matchup. || SWAP: OUT: Ember Monk x2 | IN: Thousand-Tailed Watcher x2</t>
        </is>
      </c>
    </row>
    <row r="64" ht="48" customHeight="1">
      <c r="A64" s="735" t="inlineStr">
        <is>
          <t>OGN-180</t>
        </is>
      </c>
      <c r="B64" s="735" t="n">
        <v>1</v>
      </c>
      <c r="C64" s="736" t="inlineStr">
        <is>
          <t>vs Miss Fortune</t>
        </is>
      </c>
      <c r="D64" s="736" t="inlineStr">
        <is>
          <t>Fading Memories</t>
        </is>
      </c>
      <c r="E64" s="738" t="inlineStr">
        <is>
          <t>Chaos</t>
        </is>
      </c>
      <c r="F64" s="738" t="inlineStr">
        <is>
          <t>4</t>
        </is>
      </c>
      <c r="G64" s="738" t="inlineStr">
        <is>
          <t>0</t>
        </is>
      </c>
      <c r="H64" s="458" t="inlineStr">
        <is>
          <t>Give her Trinity carrier TEMPORARY. It dies start of THEIR next turn. No passive point. Carrier gone. No GANKING. Her entire engine shuts off for 1 rune. || SWAP: OUT: Mushroom Pouch x1 | IN: Fading Memories x1</t>
        </is>
      </c>
    </row>
    <row r="65" ht="48" customHeight="1">
      <c r="A65" s="604" t="inlineStr">
        <is>
          <t>OGN-105</t>
        </is>
      </c>
      <c r="B65" s="604" t="n">
        <v>1</v>
      </c>
      <c r="C65" s="605" t="inlineStr">
        <is>
          <t>vs Draven</t>
        </is>
      </c>
      <c r="D65" s="605" t="inlineStr">
        <is>
          <t>Singularity</t>
        </is>
      </c>
      <c r="E65" s="607" t="inlineStr">
        <is>
          <t>Mind</t>
        </is>
      </c>
      <c r="F65" s="607" t="inlineStr">
        <is>
          <t>6</t>
        </is>
      </c>
      <c r="G65" s="607" t="inlineStr">
        <is>
          <t>0</t>
        </is>
      </c>
      <c r="H65" s="608" t="inlineStr">
        <is>
          <t>Deal 6 to EACH of up to 2 units simultaneously. Kills Draven champion AND his best unit in the same spell. He loses his draw engine and his board at once. || SWAP: OUT: Ravenbloom x1 | IN: Singularity x1</t>
        </is>
      </c>
    </row>
    <row r="66" ht="48" customHeight="1">
      <c r="A66" s="604" t="inlineStr">
        <is>
          <t>OGN-086</t>
        </is>
      </c>
      <c r="B66" s="604" t="n">
        <v>1</v>
      </c>
      <c r="C66" s="605" t="inlineStr">
        <is>
          <t>vs Aggro</t>
        </is>
      </c>
      <c r="D66" s="605" t="inlineStr">
        <is>
          <t>Jeweled Colossus</t>
        </is>
      </c>
      <c r="E66" s="607" t="inlineStr">
        <is>
          <t>Mind</t>
        </is>
      </c>
      <c r="F66" s="607" t="inlineStr">
        <is>
          <t>5</t>
        </is>
      </c>
      <c r="G66" s="607" t="inlineStr">
        <is>
          <t>5</t>
        </is>
      </c>
      <c r="H66" s="608" t="inlineStr">
        <is>
          <t>5/5. SHIELD (+1M while defending). VISION on play. Hard to kill defensively. Brings stability vs fast decks that pressure before Scout gets going. || SWAP: OUT: Black Market Broker x1 | IN: Jeweled Colossus x1</t>
        </is>
      </c>
    </row>
    <row r="67" ht="5" customHeight="1">
      <c r="A67" s="672" t="inlineStr"/>
      <c r="B67" s="672" t="inlineStr"/>
      <c r="C67" s="672" t="inlineStr"/>
      <c r="D67" s="672" t="inlineStr"/>
      <c r="E67" s="672" t="inlineStr"/>
      <c r="F67" s="672" t="inlineStr"/>
      <c r="G67" s="672" t="inlineStr"/>
      <c r="H67" s="672" t="inlineStr"/>
    </row>
    <row r="68" ht="18" customHeight="1">
      <c r="A68" s="673" t="inlineStr">
        <is>
          <t>GOLDEN RULES</t>
        </is>
      </c>
      <c r="B68" s="669" t="inlineStr"/>
      <c r="C68" s="669" t="inlineStr"/>
      <c r="D68" s="669" t="inlineStr"/>
      <c r="E68" s="669" t="inlineStr"/>
      <c r="F68" s="669" t="inlineStr"/>
      <c r="G68" s="669" t="inlineStr"/>
      <c r="H68" s="669" t="inlineStr"/>
    </row>
    <row r="69" ht="26" customHeight="1">
      <c r="A69" s="709" t="inlineStr">
        <is>
          <t>1</t>
        </is>
      </c>
      <c r="B69" s="101" t="inlineStr">
        <is>
          <t>Exhaust legend EVERY turn to put Scout back in hand. This costs 1 energy and 1 rune. Never skip it. Scout is your only recurring threat.</t>
        </is>
      </c>
      <c r="C69" s="710" t="inlineStr"/>
      <c r="D69" s="710" t="inlineStr"/>
      <c r="E69" s="710" t="inlineStr"/>
      <c r="F69" s="710" t="inlineStr"/>
      <c r="G69" s="710" t="inlineStr"/>
      <c r="H69" s="710" t="inlineStr"/>
    </row>
    <row r="70" ht="26" customHeight="1">
      <c r="A70" s="707" t="inlineStr">
        <is>
          <t>2</t>
        </is>
      </c>
      <c r="B70" s="97" t="inlineStr">
        <is>
          <t>Hide one card every turn using the legend ability. 1 energy not runes. Mushroom Pouch draws a card at your next Beginning Phase automatically.</t>
        </is>
      </c>
      <c r="C70" s="774" t="inlineStr"/>
      <c r="D70" s="774" t="inlineStr"/>
      <c r="E70" s="774" t="inlineStr"/>
      <c r="F70" s="774" t="inlineStr"/>
      <c r="G70" s="774" t="inlineStr"/>
      <c r="H70" s="774" t="inlineStr"/>
    </row>
    <row r="71" ht="26" customHeight="1">
      <c r="A71" s="709" t="inlineStr">
        <is>
          <t>3</t>
        </is>
      </c>
      <c r="B71" s="101" t="inlineStr">
        <is>
          <t>React with drain spells BEFORE combat resolves. Frigid Touch + Smoke Screen on the attacker. Their 9M attacks as 3M. Your unit survives.</t>
        </is>
      </c>
      <c r="C71" s="710" t="inlineStr"/>
      <c r="D71" s="710" t="inlineStr"/>
      <c r="E71" s="710" t="inlineStr"/>
      <c r="F71" s="710" t="inlineStr"/>
      <c r="G71" s="710" t="inlineStr"/>
      <c r="H71" s="710" t="inlineStr"/>
    </row>
    <row r="72" ht="26" customHeight="1">
      <c r="A72" s="707" t="inlineStr">
        <is>
          <t>4</t>
        </is>
      </c>
      <c r="B72" s="97" t="inlineStr">
        <is>
          <t>Eager Apprentice at a battlefield makes all spells cost 1 less. Frigid Touch becomes 1 rune. Stupefy becomes 0. Play Apprentice early and protect her.</t>
        </is>
      </c>
      <c r="C72" s="774" t="inlineStr"/>
      <c r="D72" s="774" t="inlineStr"/>
      <c r="E72" s="774" t="inlineStr"/>
      <c r="F72" s="774" t="inlineStr"/>
      <c r="G72" s="774" t="inlineStr"/>
      <c r="H72" s="774" t="inlineStr"/>
    </row>
    <row r="73" ht="26" customHeight="1">
      <c r="A73" s="709" t="inlineStr">
        <is>
          <t>5</t>
        </is>
      </c>
      <c r="B73" s="101" t="inlineStr">
        <is>
          <t>Ember Monk grows +2M every time you reveal a hidden card. Reveal Wages of Pain = Monk is 6M that turn. Reveal Consult = Monk is 6M. Stack reveals.</t>
        </is>
      </c>
      <c r="C73" s="710" t="inlineStr"/>
      <c r="D73" s="710" t="inlineStr"/>
      <c r="E73" s="710" t="inlineStr"/>
      <c r="F73" s="710" t="inlineStr"/>
      <c r="G73" s="710" t="inlineStr"/>
      <c r="H73" s="710" t="inlineStr"/>
    </row>
    <row r="74" ht="26" customHeight="1">
      <c r="A74" s="707" t="inlineStr">
        <is>
          <t>6</t>
        </is>
      </c>
      <c r="B74" s="97" t="inlineStr">
        <is>
          <t>Rocket Barrage vs big units: pay the REPEAT 4 Mind = deal 4 twice to the same unit = 8 total damage. Kills Kadregrin. Kills Volibear Furious.</t>
        </is>
      </c>
      <c r="C74" s="774" t="inlineStr"/>
      <c r="D74" s="774" t="inlineStr"/>
      <c r="E74" s="774" t="inlineStr"/>
      <c r="F74" s="774" t="inlineStr"/>
      <c r="G74" s="774" t="inlineStr"/>
      <c r="H74" s="774" t="inlineStr"/>
    </row>
    <row r="75" ht="26" customHeight="1">
      <c r="A75" s="709" t="inlineStr">
        <is>
          <t>7</t>
        </is>
      </c>
      <c r="B75" s="101" t="inlineStr">
        <is>
          <t>Sideboard Blastcone Fae vs Azir. Hide it at a contested field. Azir sends tokens. Reveal = ALL units here -2M. Soldiers deal 0 damage. Field held free.</t>
        </is>
      </c>
      <c r="C75" s="710" t="inlineStr"/>
      <c r="D75" s="710" t="inlineStr"/>
      <c r="E75" s="710" t="inlineStr"/>
      <c r="F75" s="710" t="inlineStr"/>
      <c r="G75" s="710" t="inlineStr"/>
      <c r="H75" s="710" t="inlineStr"/>
    </row>
    <row r="76" ht="26" customHeight="1">
      <c r="A76" s="707" t="inlineStr">
        <is>
          <t>8</t>
        </is>
      </c>
      <c r="B76" s="97" t="inlineStr">
        <is>
          <t>Sideboard Thousand-Tailed Watcher vs Volibear. One play. All enemy units -3M. Dragon fights at 6M. Watcher is 7M. Dragon loses. Game changes immediately.</t>
        </is>
      </c>
      <c r="C76" s="774" t="inlineStr"/>
      <c r="D76" s="774" t="inlineStr"/>
      <c r="E76" s="774" t="inlineStr"/>
      <c r="F76" s="774" t="inlineStr"/>
      <c r="G76" s="774" t="inlineStr"/>
      <c r="H76" s="77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0" customWidth="1" min="1" max="1"/>
    <col width="25" customWidth="1" min="2" max="2"/>
    <col width="12" customWidth="1" min="3" max="3"/>
    <col width="10" customWidth="1" min="4" max="4"/>
    <col width="8" customWidth="1" min="5" max="5"/>
    <col width="60" customWidth="1" min="6" max="6"/>
  </cols>
  <sheetData>
    <row r="1" ht="18" customHeight="1">
      <c r="A1" s="798" t="inlineStr">
        <is>
          <t>Deck</t>
        </is>
      </c>
      <c r="B1" s="798" t="inlineStr">
        <is>
          <t>Legend</t>
        </is>
      </c>
      <c r="C1" s="798" t="inlineStr">
        <is>
          <t>Domains</t>
        </is>
      </c>
      <c r="D1" s="798" t="inlineStr">
        <is>
          <t>Meta%</t>
        </is>
      </c>
      <c r="E1" s="798" t="inlineStr">
        <is>
          <t>Tier</t>
        </is>
      </c>
      <c r="F1" s="798" t="inlineStr">
        <is>
          <t>Strategy Summary</t>
        </is>
      </c>
    </row>
    <row r="2" ht="45" customHeight="1">
      <c r="A2" s="61" t="inlineStr">
        <is>
          <t>Draven Midrange</t>
        </is>
      </c>
      <c r="B2" s="62" t="inlineStr">
        <is>
          <t>Draven - Glorious Executioner</t>
        </is>
      </c>
      <c r="C2" s="63" t="inlineStr">
        <is>
          <t>Fury+Chaos</t>
        </is>
      </c>
      <c r="D2" s="64" t="inlineStr">
        <is>
          <t>~19%</t>
        </is>
      </c>
      <c r="E2" s="64" t="inlineStr">
        <is>
          <t>Tier 1</t>
        </is>
      </c>
      <c r="F2" s="65" t="inlineStr">
        <is>
          <t>Win combat = draw. Draven Vanquisher at 4 cost hits 6 Might on every attack by paying 1 Fury. Won Las Vegas 1670-player March 2026. 64.3% win rate.</t>
        </is>
      </c>
    </row>
    <row r="3" ht="45" customHeight="1">
      <c r="A3" s="66" t="inlineStr">
        <is>
          <t>Draven Miracle</t>
        </is>
      </c>
      <c r="B3" s="67" t="inlineStr">
        <is>
          <t>Draven - Glorious Executioner</t>
        </is>
      </c>
      <c r="C3" s="68" t="inlineStr">
        <is>
          <t>Fury+Chaos</t>
        </is>
      </c>
      <c r="D3" s="69" t="inlineStr">
        <is>
          <t>~8%</t>
        </is>
      </c>
      <c r="E3" s="69" t="inlineStr">
        <is>
          <t>Tier 1</t>
        </is>
      </c>
      <c r="F3" s="70" t="inlineStr">
        <is>
          <t>Called Shot + Ezreal Prodigy spam fills trash fast. Battering Ram at 1 cost, Rhasa at 0-3 cost. Explosive flood turn T5-6. Won Bologna Winter League.</t>
        </is>
      </c>
    </row>
    <row r="4" ht="45" customHeight="1">
      <c r="A4" s="804" t="inlineStr">
        <is>
          <t>Irelia Voltron</t>
        </is>
      </c>
      <c r="B4" s="765" t="inlineStr">
        <is>
          <t>Irelia - Blade Dancer</t>
        </is>
      </c>
      <c r="C4" s="806" t="inlineStr">
        <is>
          <t>Calm+Chaos</t>
        </is>
      </c>
      <c r="D4" s="807" t="inlineStr">
        <is>
          <t>~14%</t>
        </is>
      </c>
      <c r="E4" s="807" t="inlineStr">
        <is>
          <t>Tier 1</t>
        </is>
      </c>
      <c r="F4" s="75" t="inlineStr">
        <is>
          <t>Irelia Fervent champion as sole carry. Guardian Angel = survives first kill attempt. Defiant Dance + En Garde stack to 10+ Might. Double conquest turns routine by T4-5.</t>
        </is>
      </c>
    </row>
    <row r="5" ht="45" customHeight="1">
      <c r="A5" s="726" t="inlineStr">
        <is>
          <t>Ezreal Control</t>
        </is>
      </c>
      <c r="B5" s="727" t="inlineStr">
        <is>
          <t>Ezreal - Prodigal Explorer</t>
        </is>
      </c>
      <c r="C5" s="78" t="inlineStr">
        <is>
          <t>Mind+Chaos</t>
        </is>
      </c>
      <c r="D5" s="180" t="inlineStr">
        <is>
          <t>~11%</t>
        </is>
      </c>
      <c r="E5" s="180" t="inlineStr">
        <is>
          <t>Tier 1</t>
        </is>
      </c>
      <c r="F5" s="80" t="inlineStr">
        <is>
          <t>Target enemies twice = draw. Every removal replaces itself. Late game floods with Rhasa+Ram. Ravenbloom Student grows per spell. Never runs out of resources.</t>
        </is>
      </c>
    </row>
    <row r="6" ht="45" customHeight="1">
      <c r="A6" s="81" t="inlineStr">
        <is>
          <t>Kai'Sa Control</t>
        </is>
      </c>
      <c r="B6" s="82" t="inlineStr">
        <is>
          <t>Kai'Sa - Daughter of the Void</t>
        </is>
      </c>
      <c r="C6" s="83" t="inlineStr">
        <is>
          <t>Fury+Mind</t>
        </is>
      </c>
      <c r="D6" s="84" t="inlineStr">
        <is>
          <t>~9%</t>
        </is>
      </c>
      <c r="E6" s="84" t="inlineStr">
        <is>
          <t>Tier 2</t>
        </is>
      </c>
      <c r="F6" s="85" t="inlineStr">
        <is>
          <t>Legend adds rune for spells. Spell-heavy board control. Ravenbloom Student win condition. Rising as Draven counter.</t>
        </is>
      </c>
    </row>
    <row r="7" ht="45" customHeight="1">
      <c r="A7" s="812" t="inlineStr">
        <is>
          <t>Annie Aggro</t>
        </is>
      </c>
      <c r="B7" s="313" t="inlineStr">
        <is>
          <t>Annie - Dark Child</t>
        </is>
      </c>
      <c r="C7" s="315" t="inlineStr">
        <is>
          <t>Fury+Chaos</t>
        </is>
      </c>
      <c r="D7" s="312" t="inlineStr">
        <is>
          <t>~8%</t>
        </is>
      </c>
      <c r="E7" s="312" t="inlineStr">
        <is>
          <t>Tier 2</t>
        </is>
      </c>
      <c r="F7" s="90" t="inlineStr">
        <is>
          <t>Legend sets 2 runes Active at end of turn = react on opponent turn. Early points. Vi + Ride the Wind finisher from 6pts.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6"/>
  <sheetViews>
    <sheetView workbookViewId="0">
      <pane ySplit="2" topLeftCell="A3" activePane="bottomLeft" state="frozen"/>
      <selection pane="bottomLeft" activeCell="A1" sqref="A1"/>
    </sheetView>
  </sheetViews>
  <sheetFormatPr baseColWidth="8" defaultRowHeight="15"/>
  <cols>
    <col width="10" customWidth="1" min="1" max="1"/>
    <col width="28" customWidth="1" min="2" max="2"/>
    <col width="14" customWidth="1" min="3" max="3"/>
    <col width="10" customWidth="1" min="4" max="4"/>
    <col width="10" customWidth="1" min="5" max="5"/>
    <col width="12" customWidth="1" min="6" max="6"/>
    <col width="8" customWidth="1" min="7" max="7"/>
    <col width="55" customWidth="1" min="8" max="8"/>
  </cols>
  <sheetData>
    <row r="1" ht="22" customHeight="1">
      <c r="A1" s="473" t="inlineStr">
        <is>
          <t>WISHLIST — Watch for Good Deals | Budget Conscious</t>
        </is>
      </c>
      <c r="B1" s="474" t="inlineStr"/>
      <c r="C1" s="474" t="inlineStr"/>
      <c r="D1" s="474" t="inlineStr"/>
      <c r="E1" s="474" t="inlineStr"/>
      <c r="F1" s="474" t="inlineStr"/>
      <c r="G1" s="474" t="inlineStr"/>
      <c r="H1" s="474" t="inlineStr"/>
    </row>
    <row r="3" ht="18" customHeight="1">
      <c r="A3" s="475" t="inlineStr">
        <is>
          <t>Card ID</t>
        </is>
      </c>
      <c r="B3" s="475" t="inlineStr">
        <is>
          <t>Name</t>
        </is>
      </c>
      <c r="C3" s="475" t="inlineStr">
        <is>
          <t>For Deck</t>
        </is>
      </c>
      <c r="D3" s="475" t="inlineStr">
        <is>
          <t>Rarity</t>
        </is>
      </c>
      <c r="E3" s="475" t="inlineStr">
        <is>
          <t>Priority</t>
        </is>
      </c>
      <c r="F3" s="475" t="inlineStr">
        <is>
          <t>Est. Price</t>
        </is>
      </c>
      <c r="G3" s="475" t="inlineStr">
        <is>
          <t>Own?</t>
        </is>
      </c>
      <c r="H3" s="475" t="inlineStr">
        <is>
          <t>Why It Matters</t>
        </is>
      </c>
    </row>
    <row r="4" ht="30" customHeight="1">
      <c r="A4" s="487" t="inlineStr">
        <is>
          <t>OGN-189</t>
        </is>
      </c>
      <c r="B4" s="487" t="inlineStr">
        <is>
          <t>Kayn - Unleashed</t>
        </is>
      </c>
      <c r="C4" s="488" t="inlineStr">
        <is>
          <t>Miss Fort</t>
        </is>
      </c>
      <c r="D4" s="488" t="inlineStr">
        <is>
          <t>Rare</t>
        </is>
      </c>
      <c r="E4" s="487" t="inlineStr">
        <is>
          <t>HIGH</t>
        </is>
      </c>
      <c r="F4" s="488" t="inlineStr">
        <is>
          <t>$3-8</t>
        </is>
      </c>
      <c r="G4" s="488" t="inlineStr">
        <is>
          <t>No</t>
        </is>
      </c>
      <c r="H4" s="489" t="inlineStr">
        <is>
          <t>GANKING 6/6. Moves twice = immune to combat damage. Unkillable striker for MF deck.</t>
        </is>
      </c>
    </row>
    <row r="5" ht="30" customHeight="1">
      <c r="A5" s="487" t="inlineStr">
        <is>
          <t>OGN-177</t>
        </is>
      </c>
      <c r="B5" s="487" t="inlineStr">
        <is>
          <t>Stealthy Pursuer</t>
        </is>
      </c>
      <c r="C5" s="488" t="inlineStr">
        <is>
          <t>Miss Fort</t>
        </is>
      </c>
      <c r="D5" s="488" t="inlineStr">
        <is>
          <t>Common</t>
        </is>
      </c>
      <c r="E5" s="487" t="inlineStr">
        <is>
          <t>HIGH</t>
        </is>
      </c>
      <c r="F5" s="488" t="inlineStr">
        <is>
          <t>&lt;$1</t>
        </is>
      </c>
      <c r="G5" s="488" t="inlineStr">
        <is>
          <t>No</t>
        </is>
      </c>
      <c r="H5" s="489" t="inlineStr">
        <is>
          <t>4/4. Moves with a friendly unit automatically. Free second body on every Fae Porter move.</t>
        </is>
      </c>
    </row>
    <row r="6" ht="30" customHeight="1">
      <c r="A6" s="487" t="inlineStr">
        <is>
          <t>OGN-143</t>
        </is>
      </c>
      <c r="B6" s="487" t="inlineStr">
        <is>
          <t>Pirate's Haven</t>
        </is>
      </c>
      <c r="C6" s="488" t="inlineStr">
        <is>
          <t>Miss Fort</t>
        </is>
      </c>
      <c r="D6" s="488" t="inlineStr">
        <is>
          <t>Uncommon</t>
        </is>
      </c>
      <c r="E6" s="487" t="inlineStr">
        <is>
          <t>HIGH</t>
        </is>
      </c>
      <c r="F6" s="488" t="inlineStr">
        <is>
          <t>$1-2</t>
        </is>
      </c>
      <c r="G6" s="488" t="inlineStr">
        <is>
          <t>No</t>
        </is>
      </c>
      <c r="H6" s="489" t="inlineStr">
        <is>
          <t>Gear. Ready a unit = +1M this turn. Stacks with Ride the Wind for extra damage on ready.</t>
        </is>
      </c>
    </row>
    <row r="7" ht="30" customHeight="1">
      <c r="A7" s="487" t="inlineStr">
        <is>
          <t>OGN-022</t>
        </is>
      </c>
      <c r="B7" s="487" t="inlineStr">
        <is>
          <t>Thermo Beam x3 more</t>
        </is>
      </c>
      <c r="C7" s="488" t="inlineStr">
        <is>
          <t>All</t>
        </is>
      </c>
      <c r="D7" s="488" t="inlineStr">
        <is>
          <t>Uncommon</t>
        </is>
      </c>
      <c r="E7" s="487" t="inlineStr">
        <is>
          <t>HIGH</t>
        </is>
      </c>
      <c r="F7" s="488" t="inlineStr">
        <is>
          <t>$1-2ea</t>
        </is>
      </c>
      <c r="G7" s="488" t="inlineStr">
        <is>
          <t>x6</t>
        </is>
      </c>
      <c r="H7" s="489" t="inlineStr">
        <is>
          <t>Own x6. Need 3 more to run in Azir SB and MF SB without cannibalizing Voli SB.</t>
        </is>
      </c>
    </row>
    <row r="8" ht="30" customHeight="1">
      <c r="A8" s="490" t="inlineStr">
        <is>
          <t>SFD-132</t>
        </is>
      </c>
      <c r="B8" s="490" t="inlineStr">
        <is>
          <t>Beast Below</t>
        </is>
      </c>
      <c r="C8" s="491" t="inlineStr">
        <is>
          <t>Miss Fort</t>
        </is>
      </c>
      <c r="D8" s="491" t="inlineStr">
        <is>
          <t>Uncommon</t>
        </is>
      </c>
      <c r="E8" s="490" t="inlineStr">
        <is>
          <t>MED</t>
        </is>
      </c>
      <c r="F8" s="491" t="inlineStr">
        <is>
          <t>$1-3</t>
        </is>
      </c>
      <c r="G8" s="491" t="inlineStr">
        <is>
          <t>No</t>
        </is>
      </c>
      <c r="H8" s="492" t="inlineStr">
        <is>
          <t>7/8. Returns friendly + enemy unit to hand. Redeploy yours to open field, opponent rebuilds.</t>
        </is>
      </c>
    </row>
    <row r="9" ht="30" customHeight="1">
      <c r="A9" s="490" t="inlineStr">
        <is>
          <t>OGN-162</t>
        </is>
      </c>
      <c r="B9" s="490" t="inlineStr">
        <is>
          <t>Miss Fortune - Captain</t>
        </is>
      </c>
      <c r="C9" s="491" t="inlineStr">
        <is>
          <t>Miss Fort</t>
        </is>
      </c>
      <c r="D9" s="491" t="inlineStr">
        <is>
          <t>Epic</t>
        </is>
      </c>
      <c r="E9" s="490" t="inlineStr">
        <is>
          <t>MED</t>
        </is>
      </c>
      <c r="F9" s="491" t="inlineStr">
        <is>
          <t>$10-20</t>
        </is>
      </c>
      <c r="G9" s="491" t="inlineStr">
        <is>
          <t>No</t>
        </is>
      </c>
      <c r="H9" s="492" t="inlineStr">
        <is>
          <t>GANKING. Holds a field AND gives adjacent unit GANKING passively. Major upgrade when affordable.</t>
        </is>
      </c>
    </row>
    <row r="10" ht="30" customHeight="1">
      <c r="A10" s="490" t="inlineStr">
        <is>
          <t>SFD-174</t>
        </is>
      </c>
      <c r="B10" s="490" t="inlineStr">
        <is>
          <t>Azir - Conqueror</t>
        </is>
      </c>
      <c r="C10" s="491" t="inlineStr">
        <is>
          <t>Azir</t>
        </is>
      </c>
      <c r="D10" s="491" t="inlineStr">
        <is>
          <t>Epic</t>
        </is>
      </c>
      <c r="E10" s="490" t="inlineStr">
        <is>
          <t>MED</t>
        </is>
      </c>
      <c r="F10" s="491" t="inlineStr">
        <is>
          <t>$5-15</t>
        </is>
      </c>
      <c r="G10" s="491" t="inlineStr">
        <is>
          <t>No</t>
        </is>
      </c>
      <c r="H10" s="492" t="inlineStr">
        <is>
          <t>Second Azir champion option. Enters ready on conquer. Adds aggression to Azir game plan.</t>
        </is>
      </c>
    </row>
    <row r="11" ht="30" customHeight="1">
      <c r="A11" s="490" t="inlineStr">
        <is>
          <t>OGN-042</t>
        </is>
      </c>
      <c r="B11" s="490" t="inlineStr">
        <is>
          <t>Volibear - Immovable</t>
        </is>
      </c>
      <c r="C11" s="491" t="inlineStr">
        <is>
          <t>Volibear</t>
        </is>
      </c>
      <c r="D11" s="491" t="inlineStr">
        <is>
          <t>Rare</t>
        </is>
      </c>
      <c r="E11" s="490" t="inlineStr">
        <is>
          <t>MED</t>
        </is>
      </c>
      <c r="F11" s="491" t="inlineStr">
        <is>
          <t>$2-5</t>
        </is>
      </c>
      <c r="G11" s="491" t="inlineStr">
        <is>
          <t>No</t>
        </is>
      </c>
      <c r="H11" s="492" t="inlineStr">
        <is>
          <t>TANK champion. Absorbs damage while your 9/9 attacks freely. Defensive upgrade.</t>
        </is>
      </c>
    </row>
    <row r="12" ht="30" customHeight="1">
      <c r="A12" s="493" t="inlineStr">
        <is>
          <t>OGN-046</t>
        </is>
      </c>
      <c r="B12" s="493" t="inlineStr">
        <is>
          <t>En Garde</t>
        </is>
      </c>
      <c r="C12" s="494" t="inlineStr">
        <is>
          <t>Collection</t>
        </is>
      </c>
      <c r="D12" s="494" t="inlineStr">
        <is>
          <t>Common</t>
        </is>
      </c>
      <c r="E12" s="493" t="inlineStr">
        <is>
          <t>BULK</t>
        </is>
      </c>
      <c r="F12" s="494" t="inlineStr">
        <is>
          <t>&lt;$0.50</t>
        </is>
      </c>
      <c r="G12" s="494" t="inlineStr">
        <is>
          <t>No</t>
        </is>
      </c>
      <c r="H12" s="495" t="inlineStr">
        <is>
          <t>Calm reaction. +3M to lone defender. Cheap interaction missing from collection.</t>
        </is>
      </c>
    </row>
    <row r="13" ht="30" customHeight="1">
      <c r="A13" s="493" t="inlineStr">
        <is>
          <t>OGN-045</t>
        </is>
      </c>
      <c r="B13" s="493" t="inlineStr">
        <is>
          <t>Defy</t>
        </is>
      </c>
      <c r="C13" s="494" t="inlineStr">
        <is>
          <t>Collection</t>
        </is>
      </c>
      <c r="D13" s="494" t="inlineStr">
        <is>
          <t>Common</t>
        </is>
      </c>
      <c r="E13" s="493" t="inlineStr">
        <is>
          <t>BULK</t>
        </is>
      </c>
      <c r="F13" s="494" t="inlineStr">
        <is>
          <t>&lt;$0.50</t>
        </is>
      </c>
      <c r="G13" s="494" t="inlineStr">
        <is>
          <t>No</t>
        </is>
      </c>
      <c r="H13" s="495" t="inlineStr">
        <is>
          <t>Calm reaction. Counter a spell. Core counterspell missing from collection.</t>
        </is>
      </c>
    </row>
    <row r="14" ht="30" customHeight="1">
      <c r="A14" s="493" t="inlineStr">
        <is>
          <t>OGN-064</t>
        </is>
      </c>
      <c r="B14" s="493" t="inlineStr">
        <is>
          <t>Wind Wall</t>
        </is>
      </c>
      <c r="C14" s="494" t="inlineStr">
        <is>
          <t>Collection</t>
        </is>
      </c>
      <c r="D14" s="494" t="inlineStr">
        <is>
          <t>Uncommon</t>
        </is>
      </c>
      <c r="E14" s="493" t="inlineStr">
        <is>
          <t>BULK</t>
        </is>
      </c>
      <c r="F14" s="494" t="inlineStr">
        <is>
          <t>&lt;$1</t>
        </is>
      </c>
      <c r="G14" s="494" t="inlineStr">
        <is>
          <t>No</t>
        </is>
      </c>
      <c r="H14" s="495" t="inlineStr">
        <is>
          <t>Calm. Counter spell that targets a unit. Protects key units from removal.</t>
        </is>
      </c>
    </row>
    <row r="15" ht="30" customHeight="1">
      <c r="A15" s="493" t="inlineStr">
        <is>
          <t>OGN-050</t>
        </is>
      </c>
      <c r="B15" s="493" t="inlineStr">
        <is>
          <t>Rune Prison</t>
        </is>
      </c>
      <c r="C15" s="494" t="inlineStr">
        <is>
          <t>Collection</t>
        </is>
      </c>
      <c r="D15" s="494" t="inlineStr">
        <is>
          <t>Common</t>
        </is>
      </c>
      <c r="E15" s="493" t="inlineStr">
        <is>
          <t>BULK</t>
        </is>
      </c>
      <c r="F15" s="494" t="inlineStr">
        <is>
          <t>&lt;$0.50</t>
        </is>
      </c>
      <c r="G15" s="494" t="inlineStr">
        <is>
          <t>No</t>
        </is>
      </c>
      <c r="H15" s="495" t="inlineStr">
        <is>
          <t>Calm. Stun a unit. Cheap removal missing from collection.</t>
        </is>
      </c>
    </row>
    <row r="16" ht="30" customHeight="1">
      <c r="A16" s="493" t="inlineStr">
        <is>
          <t>SFD-004</t>
        </is>
      </c>
      <c r="B16" s="493" t="inlineStr">
        <is>
          <t>Bushwack</t>
        </is>
      </c>
      <c r="C16" s="494" t="inlineStr">
        <is>
          <t>Collection</t>
        </is>
      </c>
      <c r="D16" s="494" t="inlineStr">
        <is>
          <t>Common</t>
        </is>
      </c>
      <c r="E16" s="493" t="inlineStr">
        <is>
          <t>BULK</t>
        </is>
      </c>
      <c r="F16" s="494" t="inlineStr">
        <is>
          <t>&lt;$0.50</t>
        </is>
      </c>
      <c r="G16" s="494" t="inlineStr">
        <is>
          <t>No</t>
        </is>
      </c>
      <c r="H16" s="495" t="inlineStr">
        <is>
          <t>Fury hidden. All units enter ready + Gold token. Surprise attack enabler.</t>
        </is>
      </c>
    </row>
    <row r="17" ht="30" customHeight="1">
      <c r="A17" s="496" t="inlineStr">
        <is>
          <t>OGN-173</t>
        </is>
      </c>
      <c r="B17" s="496" t="inlineStr">
        <is>
          <t>Ride the Wind</t>
        </is>
      </c>
      <c r="C17" s="497" t="inlineStr">
        <is>
          <t>Miss Fort</t>
        </is>
      </c>
      <c r="D17" s="497" t="inlineStr">
        <is>
          <t>Common</t>
        </is>
      </c>
      <c r="E17" s="496" t="inlineStr">
        <is>
          <t>HAVE</t>
        </is>
      </c>
      <c r="F17" s="497" t="inlineStr">
        <is>
          <t>Owned</t>
        </is>
      </c>
      <c r="G17" s="497" t="inlineStr">
        <is>
          <t>x3</t>
        </is>
      </c>
      <c r="H17" s="498" t="inlineStr">
        <is>
          <t>Already in MF main deck x3. Listed for reference.</t>
        </is>
      </c>
    </row>
    <row r="18" ht="30" customHeight="1">
      <c r="A18" s="496" t="inlineStr">
        <is>
          <t>SFD-133</t>
        </is>
      </c>
      <c r="B18" s="496" t="inlineStr">
        <is>
          <t>Boots of Swiftness</t>
        </is>
      </c>
      <c r="C18" s="497" t="inlineStr">
        <is>
          <t>Miss Fort</t>
        </is>
      </c>
      <c r="D18" s="497" t="inlineStr">
        <is>
          <t>Uncommon</t>
        </is>
      </c>
      <c r="E18" s="496" t="inlineStr">
        <is>
          <t>HAVE</t>
        </is>
      </c>
      <c r="F18" s="497" t="inlineStr">
        <is>
          <t>Owned</t>
        </is>
      </c>
      <c r="G18" s="497" t="inlineStr">
        <is>
          <t>x3</t>
        </is>
      </c>
      <c r="H18" s="498" t="inlineStr">
        <is>
          <t>Already in MF main deck x3.</t>
        </is>
      </c>
    </row>
    <row r="19" ht="30" customHeight="1">
      <c r="A19" s="499" t="inlineStr">
        <is>
          <t>SFD-057</t>
        </is>
      </c>
      <c r="B19" s="499" t="inlineStr">
        <is>
          <t>Irelia - Fervent</t>
        </is>
      </c>
      <c r="C19" s="500" t="inlineStr">
        <is>
          <t>Future</t>
        </is>
      </c>
      <c r="D19" s="500" t="inlineStr">
        <is>
          <t>Epic</t>
        </is>
      </c>
      <c r="E19" s="499" t="inlineStr">
        <is>
          <t>LOW</t>
        </is>
      </c>
      <c r="F19" s="500" t="inlineStr">
        <is>
          <t>$15-30</t>
        </is>
      </c>
      <c r="G19" s="500" t="inlineStr">
        <is>
          <t>No</t>
        </is>
      </c>
      <c r="H19" s="501" t="inlineStr">
        <is>
          <t>Only buy if building Irelia conquer-chain deck. Not needed for current 3 decks.</t>
        </is>
      </c>
    </row>
    <row r="20" ht="30" customHeight="1">
      <c r="A20" s="499" t="inlineStr">
        <is>
          <t>OGN-121</t>
        </is>
      </c>
      <c r="B20" s="499" t="inlineStr">
        <is>
          <t>Teemo - Strategist</t>
        </is>
      </c>
      <c r="C20" s="500" t="inlineStr">
        <is>
          <t>Future</t>
        </is>
      </c>
      <c r="D20" s="500" t="inlineStr">
        <is>
          <t>Epic</t>
        </is>
      </c>
      <c r="E20" s="499" t="inlineStr">
        <is>
          <t>LOW</t>
        </is>
      </c>
      <c r="F20" s="500" t="inlineStr">
        <is>
          <t>$5-15</t>
        </is>
      </c>
      <c r="G20" s="500" t="inlineStr">
        <is>
          <t>No</t>
        </is>
      </c>
      <c r="H20" s="501" t="inlineStr">
        <is>
          <t>Core of Teemo hidden build. Future deck only.</t>
        </is>
      </c>
    </row>
    <row r="21" ht="30" customHeight="1">
      <c r="A21" s="499" t="inlineStr">
        <is>
          <t>OGN-240</t>
        </is>
      </c>
      <c r="B21" s="499" t="inlineStr">
        <is>
          <t>Sett - Kingpin</t>
        </is>
      </c>
      <c r="C21" s="500" t="inlineStr">
        <is>
          <t>Future</t>
        </is>
      </c>
      <c r="D21" s="500" t="inlineStr">
        <is>
          <t>Rare</t>
        </is>
      </c>
      <c r="E21" s="499" t="inlineStr">
        <is>
          <t>LOW</t>
        </is>
      </c>
      <c r="F21" s="500" t="inlineStr">
        <is>
          <t>$2-5</t>
        </is>
      </c>
      <c r="G21" s="500" t="inlineStr">
        <is>
          <t>No</t>
        </is>
      </c>
      <c r="H21" s="501" t="inlineStr">
        <is>
          <t>Body+Order buff economy deck. Future deck only.</t>
        </is>
      </c>
    </row>
    <row r="23" ht="16" customHeight="1">
      <c r="A23" s="677" t="inlineStr"/>
      <c r="B23" s="677" t="inlineStr">
        <is>
          <t>RED = HIGH priority — buy under $5</t>
        </is>
      </c>
      <c r="C23" s="677" t="inlineStr"/>
      <c r="D23" s="677" t="inlineStr"/>
      <c r="E23" s="677" t="inlineStr"/>
      <c r="F23" s="677" t="inlineStr"/>
      <c r="G23" s="677" t="inlineStr"/>
      <c r="H23" s="677" t="inlineStr"/>
    </row>
    <row r="24" ht="16" customHeight="1">
      <c r="A24" s="702" t="inlineStr"/>
      <c r="B24" s="702" t="inlineStr">
        <is>
          <t>YELLOW = MED — wait for deals</t>
        </is>
      </c>
      <c r="C24" s="702" t="inlineStr"/>
      <c r="D24" s="702" t="inlineStr"/>
      <c r="E24" s="702" t="inlineStr"/>
      <c r="F24" s="702" t="inlineStr"/>
      <c r="G24" s="702" t="inlineStr"/>
      <c r="H24" s="702" t="inlineStr"/>
    </row>
    <row r="25" ht="16" customHeight="1">
      <c r="A25" s="774" t="inlineStr"/>
      <c r="B25" s="774" t="inlineStr">
        <is>
          <t>WHITE = LOW — future builds</t>
        </is>
      </c>
      <c r="C25" s="774" t="inlineStr"/>
      <c r="D25" s="774" t="inlineStr"/>
      <c r="E25" s="774" t="inlineStr"/>
      <c r="F25" s="774" t="inlineStr"/>
      <c r="G25" s="774" t="inlineStr"/>
      <c r="H25" s="774" t="inlineStr"/>
    </row>
    <row r="26" ht="16" customHeight="1">
      <c r="A26" s="680" t="inlineStr"/>
      <c r="B26" s="680" t="inlineStr">
        <is>
          <t>GREEN = HAVE or BULK buys</t>
        </is>
      </c>
      <c r="C26" s="680" t="inlineStr"/>
      <c r="D26" s="680" t="inlineStr"/>
      <c r="E26" s="680" t="inlineStr"/>
      <c r="F26" s="680" t="inlineStr"/>
      <c r="G26" s="680" t="inlineStr"/>
      <c r="H26" s="680"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2:E31"/>
  <sheetViews>
    <sheetView workbookViewId="0">
      <pane ySplit="1" topLeftCell="A2" activePane="bottomLeft" state="frozen"/>
      <selection pane="bottomLeft" activeCell="A1" sqref="A1"/>
    </sheetView>
  </sheetViews>
  <sheetFormatPr baseColWidth="8" defaultRowHeight="15"/>
  <cols>
    <col width="8" customWidth="1" min="1" max="1"/>
    <col width="7" customWidth="1" min="2" max="2"/>
    <col width="35" customWidth="1" min="3" max="3"/>
    <col width="8" customWidth="1" min="4" max="4"/>
    <col width="70" customWidth="1" min="5" max="5"/>
  </cols>
  <sheetData>
    <row r="2" ht="18" customHeight="1">
      <c r="A2" s="645" t="inlineStr">
        <is>
          <t>DRAVEN MIDRANGE — Turn-by-Turn Threat Profile</t>
        </is>
      </c>
      <c r="B2" s="744" t="inlineStr"/>
      <c r="C2" s="744" t="inlineStr"/>
      <c r="D2" s="744" t="inlineStr"/>
      <c r="E2" s="744" t="inlineStr"/>
    </row>
    <row r="4" ht="18" customHeight="1">
      <c r="A4" s="93" t="inlineStr">
        <is>
          <t>Turn</t>
        </is>
      </c>
      <c r="B4" s="93" t="inlineStr">
        <is>
          <t>Runes</t>
        </is>
      </c>
      <c r="C4" s="93" t="inlineStr">
        <is>
          <t>Threat Card</t>
        </is>
      </c>
      <c r="D4" s="93" t="inlineStr">
        <is>
          <t>Might</t>
        </is>
      </c>
      <c r="E4" s="93" t="inlineStr">
        <is>
          <t>Notes / Impact</t>
        </is>
      </c>
    </row>
    <row r="5" ht="32" customHeight="1">
      <c r="A5" s="707" t="n">
        <v>1</v>
      </c>
      <c r="B5" s="360" t="n">
        <v>1</v>
      </c>
      <c r="C5" s="772" t="inlineStr">
        <is>
          <t>Traveling Merchant / Scrapheap</t>
        </is>
      </c>
      <c r="D5" s="707" t="inlineStr">
        <is>
          <t>2</t>
        </is>
      </c>
      <c r="E5" s="97" t="inlineStr">
        <is>
          <t>Board presence. Merchant moves to cycle. Scrapheap draws on play. Building hand.</t>
        </is>
      </c>
    </row>
    <row r="6" ht="32" customHeight="1">
      <c r="A6" s="709" t="n">
        <v>2</v>
      </c>
      <c r="B6" s="99" t="n">
        <v>2</v>
      </c>
      <c r="C6" s="100" t="inlineStr">
        <is>
          <t>Draven - Vanquisher (champion)</t>
        </is>
      </c>
      <c r="D6" s="709" t="inlineStr">
        <is>
          <t>4</t>
        </is>
      </c>
      <c r="E6" s="101" t="inlineStr">
        <is>
          <t>Core threat. 4M base. Attack/defend = pay 1 Fury = 6 Might. Win combat = draw.</t>
        </is>
      </c>
    </row>
    <row r="7" ht="32" customHeight="1">
      <c r="A7" s="707" t="n">
        <v>3</v>
      </c>
      <c r="B7" s="360" t="n">
        <v>3</v>
      </c>
      <c r="C7" s="772" t="inlineStr">
        <is>
          <t>Draven Vanquisher attacking</t>
        </is>
      </c>
      <c r="D7" s="707" t="inlineStr">
        <is>
          <t>6</t>
        </is>
      </c>
      <c r="E7" s="97" t="inlineStr">
        <is>
          <t>6 Might every combat. Wins most trades. Each win = another card drawn.</t>
        </is>
      </c>
    </row>
    <row r="8" ht="32" customHeight="1">
      <c r="A8" s="709" t="n">
        <v>3</v>
      </c>
      <c r="B8" s="99" t="n">
        <v>3</v>
      </c>
      <c r="C8" s="100" t="inlineStr">
        <is>
          <t>Ezreal - Prodigy enters</t>
        </is>
      </c>
      <c r="D8" s="709" t="inlineStr">
        <is>
          <t>3</t>
        </is>
      </c>
      <c r="E8" s="101" t="inlineStr">
        <is>
          <t>Cost reducer online. Called Shot repeats cheaper. Engine building.</t>
        </is>
      </c>
    </row>
    <row r="9" ht="32" customHeight="1">
      <c r="A9" s="707" t="n">
        <v>4</v>
      </c>
      <c r="B9" s="360" t="n">
        <v>4</v>
      </c>
      <c r="C9" s="772" t="inlineStr">
        <is>
          <t>Battering Ram (4 cards played)</t>
        </is>
      </c>
      <c r="D9" s="707" t="inlineStr">
        <is>
          <t>5</t>
        </is>
      </c>
      <c r="E9" s="97" t="inlineStr">
        <is>
          <t>5 cost minus 4 = 1 cost, 5 Might. Multiple per turn possible.</t>
        </is>
      </c>
    </row>
    <row r="10" ht="32" customHeight="1">
      <c r="A10" s="709" t="n">
        <v>5</v>
      </c>
      <c r="B10" s="99" t="n">
        <v>5</v>
      </c>
      <c r="C10" s="100" t="inlineStr">
        <is>
          <t>Rhasa (5+ cards in trash)</t>
        </is>
      </c>
      <c r="D10" s="709" t="inlineStr">
        <is>
          <t>6</t>
        </is>
      </c>
      <c r="E10" s="101" t="inlineStr">
        <is>
          <t>10 cost minus trash count. At 5 trash = 5 cost or less. Enters READY.</t>
        </is>
      </c>
    </row>
    <row r="11" ht="32" customHeight="1">
      <c r="A11" s="707" t="n">
        <v>5</v>
      </c>
      <c r="B11" s="360" t="n">
        <v>5</v>
      </c>
      <c r="C11" s="772" t="inlineStr">
        <is>
          <t>COMBO: Ram x3 + Rhasa at 0-3</t>
        </is>
      </c>
      <c r="D11" s="707" t="inlineStr">
        <is>
          <t>21</t>
        </is>
      </c>
      <c r="E11" s="97" t="inlineStr">
        <is>
          <t>Board of 5-6 Might units for near-zero rune spend. Cannot recover from.</t>
        </is>
      </c>
    </row>
    <row r="12" ht="18" customHeight="1">
      <c r="A12" s="516" t="inlineStr">
        <is>
          <t>IRELIA VOLTRON — Turn-by-Turn Threat Profile</t>
        </is>
      </c>
      <c r="B12" s="301" t="inlineStr"/>
      <c r="C12" s="301" t="inlineStr"/>
      <c r="D12" s="301" t="inlineStr"/>
      <c r="E12" s="301" t="inlineStr"/>
    </row>
    <row r="14" ht="18" customHeight="1">
      <c r="A14" s="93" t="inlineStr">
        <is>
          <t>Turn</t>
        </is>
      </c>
      <c r="B14" s="93" t="inlineStr">
        <is>
          <t>Runes</t>
        </is>
      </c>
      <c r="C14" s="93" t="inlineStr">
        <is>
          <t>Threat Card</t>
        </is>
      </c>
      <c r="D14" s="93" t="inlineStr">
        <is>
          <t>Might</t>
        </is>
      </c>
      <c r="E14" s="93" t="inlineStr">
        <is>
          <t>Notes / Impact</t>
        </is>
      </c>
    </row>
    <row r="15" ht="32" customHeight="1">
      <c r="A15" s="707" t="n">
        <v>1</v>
      </c>
      <c r="B15" s="360" t="n">
        <v>1</v>
      </c>
      <c r="C15" s="772" t="inlineStr">
        <is>
          <t>Guardian Angel (hidden/played)</t>
        </is>
      </c>
      <c r="D15" s="707" t="inlineStr">
        <is>
          <t>0</t>
        </is>
      </c>
      <c r="E15" s="97" t="inlineStr">
        <is>
          <t>Sets up Irelia protection before she drops. First kill attempt fails.</t>
        </is>
      </c>
    </row>
    <row r="16" ht="32" customHeight="1">
      <c r="A16" s="709" t="n">
        <v>2</v>
      </c>
      <c r="B16" s="99" t="n">
        <v>2</v>
      </c>
      <c r="C16" s="100" t="inlineStr">
        <is>
          <t>Guardian Angel equips to Irelia</t>
        </is>
      </c>
      <c r="D16" s="709" t="inlineStr">
        <is>
          <t>1</t>
        </is>
      </c>
      <c r="E16" s="101" t="inlineStr">
        <is>
          <t>Irelia gets +1 Might. Absorbs first kill. Need 2 removal answers for 1 unit.</t>
        </is>
      </c>
    </row>
    <row r="17" ht="32" customHeight="1">
      <c r="A17" s="707" t="n">
        <v>3</v>
      </c>
      <c r="B17" s="360" t="n">
        <v>3</v>
      </c>
      <c r="C17" s="772" t="inlineStr">
        <is>
          <t>Irelia - Fervent enters</t>
        </is>
      </c>
      <c r="D17" s="707" t="inlineStr">
        <is>
          <t>4</t>
        </is>
      </c>
      <c r="E17" s="97" t="inlineStr">
        <is>
          <t>5 cost, 4M, Deflect. Each choice or ready = +1M this turn.</t>
        </is>
      </c>
    </row>
    <row r="18" ht="32" customHeight="1">
      <c r="A18" s="709" t="n">
        <v>3</v>
      </c>
      <c r="B18" s="99" t="n">
        <v>3</v>
      </c>
      <c r="C18" s="100" t="inlineStr">
        <is>
          <t>Irelia + Defiant Dance</t>
        </is>
      </c>
      <c r="D18" s="709" t="inlineStr">
        <is>
          <t>7</t>
        </is>
      </c>
      <c r="E18" s="101" t="inlineStr">
        <is>
          <t>1 energy + 1 power: +2M friendly, -2M enemy. Net 4 Might swing.</t>
        </is>
      </c>
    </row>
    <row r="19" ht="32" customHeight="1">
      <c r="A19" s="707" t="n">
        <v>4</v>
      </c>
      <c r="B19" s="360" t="n">
        <v>4</v>
      </c>
      <c r="C19" s="772" t="inlineStr">
        <is>
          <t>Irelia + En Garde + Defiant</t>
        </is>
      </c>
      <c r="D19" s="707" t="inlineStr">
        <is>
          <t>10</t>
        </is>
      </c>
      <c r="E19" s="97" t="inlineStr">
        <is>
          <t>En Garde +3, Defiant +2. Floor = 10 Might in combat. Unkillable.</t>
        </is>
      </c>
    </row>
    <row r="20" ht="32" customHeight="1">
      <c r="A20" s="709" t="n">
        <v>4</v>
      </c>
      <c r="B20" s="99" t="n">
        <v>4</v>
      </c>
      <c r="C20" s="100" t="inlineStr">
        <is>
          <t>Legend ready after conquer</t>
        </is>
      </c>
      <c r="D20" s="709" t="inlineStr">
        <is>
          <t>2pt</t>
        </is>
      </c>
      <c r="E20" s="101" t="inlineStr">
        <is>
          <t>Conquer bf1, pay 1 = Irelia readies, conquers bf2. 2 pts in 1 turn.</t>
        </is>
      </c>
    </row>
    <row r="21" ht="32" customHeight="1">
      <c r="A21" s="707" t="n">
        <v>5</v>
      </c>
      <c r="B21" s="360" t="n">
        <v>5</v>
      </c>
      <c r="C21" s="772" t="inlineStr">
        <is>
          <t>Draven Audacious enters</t>
        </is>
      </c>
      <c r="D21" s="707" t="inlineStr">
        <is>
          <t>4</t>
        </is>
      </c>
      <c r="E21" s="97" t="inlineStr">
        <is>
          <t>First combat win = bonus score point. Speeds game to 8pts.</t>
        </is>
      </c>
    </row>
    <row r="22" ht="18" customHeight="1">
      <c r="A22" s="690" t="inlineStr">
        <is>
          <t>EZREAL CONTROL — Turn-by-Turn Threat Profile</t>
        </is>
      </c>
      <c r="B22" s="105" t="inlineStr"/>
      <c r="C22" s="105" t="inlineStr"/>
      <c r="D22" s="105" t="inlineStr"/>
      <c r="E22" s="105" t="inlineStr"/>
    </row>
    <row r="24" ht="18" customHeight="1">
      <c r="A24" s="93" t="inlineStr">
        <is>
          <t>Turn</t>
        </is>
      </c>
      <c r="B24" s="93" t="inlineStr">
        <is>
          <t>Runes</t>
        </is>
      </c>
      <c r="C24" s="93" t="inlineStr">
        <is>
          <t>Threat Card</t>
        </is>
      </c>
      <c r="D24" s="93" t="inlineStr">
        <is>
          <t>Might</t>
        </is>
      </c>
      <c r="E24" s="93" t="inlineStr">
        <is>
          <t>Notes / Impact</t>
        </is>
      </c>
    </row>
    <row r="25" ht="32" customHeight="1">
      <c r="A25" s="707" t="n">
        <v>1</v>
      </c>
      <c r="B25" s="360" t="n">
        <v>1</v>
      </c>
      <c r="C25" s="772" t="inlineStr">
        <is>
          <t>Scrapheap / Stacked Deck</t>
        </is>
      </c>
      <c r="D25" s="707" t="inlineStr">
        <is>
          <t>0</t>
        </is>
      </c>
      <c r="E25" s="97" t="inlineStr">
        <is>
          <t>Draw from T1. No board threat yet. Trash filling for Rhasa discount.</t>
        </is>
      </c>
    </row>
    <row r="26" ht="32" customHeight="1">
      <c r="A26" s="709" t="n">
        <v>2</v>
      </c>
      <c r="B26" s="99" t="n">
        <v>2</v>
      </c>
      <c r="C26" s="100" t="inlineStr">
        <is>
          <t>Traveling Merchant + move</t>
        </is>
      </c>
      <c r="D26" s="709" t="inlineStr">
        <is>
          <t>2</t>
        </is>
      </c>
      <c r="E26" s="101" t="inlineStr">
        <is>
          <t>Discard+draw on move. Trash grows. Hand stays full.</t>
        </is>
      </c>
    </row>
    <row r="27" ht="32" customHeight="1">
      <c r="A27" s="707" t="n">
        <v>3</v>
      </c>
      <c r="B27" s="360" t="n">
        <v>3</v>
      </c>
      <c r="C27" s="772" t="inlineStr">
        <is>
          <t>Ezreal - Prodigy enters</t>
        </is>
      </c>
      <c r="D27" s="707" t="inlineStr">
        <is>
          <t>3</t>
        </is>
      </c>
      <c r="E27" s="97" t="inlineStr">
        <is>
          <t>Additional costs -1. Called Shot = free to repeat. Engine online.</t>
        </is>
      </c>
    </row>
    <row r="28" ht="32" customHeight="1">
      <c r="A28" s="709" t="n">
        <v>3</v>
      </c>
      <c r="B28" s="99" t="n">
        <v>3</v>
      </c>
      <c r="C28" s="100" t="inlineStr">
        <is>
          <t>Called Shot spam x3</t>
        </is>
      </c>
      <c r="D28" s="709" t="inlineStr">
        <is>
          <t>0</t>
        </is>
      </c>
      <c r="E28" s="101" t="inlineStr">
        <is>
          <t>Draw 3+ cards. Trash at 4-6 by end T3. Rhasa already discounted.</t>
        </is>
      </c>
    </row>
    <row r="29" ht="32" customHeight="1">
      <c r="A29" s="707" t="n">
        <v>4</v>
      </c>
      <c r="B29" s="360" t="n">
        <v>4</v>
      </c>
      <c r="C29" s="772" t="inlineStr">
        <is>
          <t>Ravenbloom Student + spells</t>
        </is>
      </c>
      <c r="D29" s="707" t="inlineStr">
        <is>
          <t>5</t>
        </is>
      </c>
      <c r="E29" s="97" t="inlineStr">
        <is>
          <t>2+3 spells = 5 Might. Mighty. Ezreal legend draws off targeting it.</t>
        </is>
      </c>
    </row>
    <row r="30" ht="32" customHeight="1">
      <c r="A30" s="709" t="n">
        <v>5</v>
      </c>
      <c r="B30" s="99" t="n">
        <v>5</v>
      </c>
      <c r="C30" s="100" t="inlineStr">
        <is>
          <t>Ezreal legend draw triggers</t>
        </is>
      </c>
      <c r="D30" s="709" t="inlineStr">
        <is>
          <t>0</t>
        </is>
      </c>
      <c r="E30" s="101" t="inlineStr">
        <is>
          <t>Every removal = draw. Cannot out-resource after this point.</t>
        </is>
      </c>
    </row>
    <row r="31" ht="32" customHeight="1">
      <c r="A31" s="707" t="n">
        <v>6</v>
      </c>
      <c r="B31" s="360" t="n">
        <v>6</v>
      </c>
      <c r="C31" s="772" t="inlineStr">
        <is>
          <t>COMBO flood turn</t>
        </is>
      </c>
      <c r="D31" s="707" t="inlineStr">
        <is>
          <t>21</t>
        </is>
      </c>
      <c r="E31" s="97" t="inlineStr">
        <is>
          <t>3x Ram at 1-2 cost + Rhasa at 0-3 cost. 21+ Might across board at once.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6"/>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8" customWidth="1" min="8" max="8"/>
  </cols>
  <sheetData>
    <row r="1" ht="24" customHeight="1">
      <c r="A1" s="668" t="inlineStr">
        <is>
          <t>AZIR — EMPEROR OF THE SANDS | Calm+Order | Go Wide | 40 Cards</t>
        </is>
      </c>
      <c r="B1" s="669" t="inlineStr"/>
      <c r="C1" s="669" t="inlineStr"/>
      <c r="D1" s="669" t="inlineStr"/>
      <c r="E1" s="669" t="inlineStr"/>
      <c r="F1" s="669" t="inlineStr"/>
      <c r="G1" s="669" t="inlineStr"/>
      <c r="H1" s="669" t="inlineStr"/>
    </row>
    <row r="2" ht="55" customHeight="1">
      <c r="A2" s="670" t="inlineStr">
        <is>
          <t>STRATEGY — GO WIDE: Every turn you make free Sand Soldiers without spending your main hand. By turn 4 you have soldiers at both fields simultaneously. Your opponent can only be at one field. You take the other for free. Arise! equipment makes soldiers Mighty. Grand Strategem turns everything into a 7M+ unit at once. Opponent can never keep up with how many bodies you put down.</t>
        </is>
      </c>
      <c r="B2" s="671" t="inlineStr"/>
      <c r="C2" s="671" t="inlineStr"/>
      <c r="D2" s="671" t="inlineStr"/>
      <c r="E2" s="671" t="inlineStr"/>
      <c r="F2" s="671" t="inlineStr"/>
      <c r="G2" s="671" t="inlineStr"/>
      <c r="H2" s="671" t="inlineStr"/>
    </row>
    <row r="3" ht="4" customHeight="1">
      <c r="A3" s="672" t="inlineStr"/>
      <c r="B3" s="672" t="inlineStr"/>
      <c r="C3" s="672" t="inlineStr"/>
      <c r="D3" s="672" t="inlineStr"/>
      <c r="E3" s="672" t="inlineStr"/>
      <c r="F3" s="672" t="inlineStr"/>
      <c r="G3" s="672" t="inlineStr"/>
      <c r="H3" s="672" t="inlineStr"/>
    </row>
    <row r="4" ht="15" customHeight="1">
      <c r="A4" s="673" t="inlineStr">
        <is>
          <t>MATCHUP ANALYSIS — G1 Card-Based Estimates</t>
        </is>
      </c>
      <c r="B4" s="669" t="inlineStr"/>
      <c r="C4" s="669" t="inlineStr"/>
      <c r="D4" s="669" t="inlineStr"/>
      <c r="E4" s="669" t="inlineStr"/>
      <c r="F4" s="669" t="inlineStr"/>
      <c r="G4" s="669" t="inlineStr"/>
      <c r="H4" s="669" t="inlineStr"/>
    </row>
    <row r="5" ht="18" customHeight="1">
      <c r="A5" s="811" t="inlineStr">
        <is>
          <t>Matchup</t>
        </is>
      </c>
      <c r="B5" s="811" t="inlineStr">
        <is>
          <t>Win Rate G1</t>
        </is>
      </c>
      <c r="C5" s="811" t="inlineStr">
        <is>
          <t>Result</t>
        </is>
      </c>
      <c r="D5" s="811" t="inlineStr"/>
      <c r="E5" s="811" t="inlineStr"/>
      <c r="F5" s="811" t="inlineStr"/>
      <c r="G5" s="811" t="inlineStr"/>
      <c r="H5" s="811" t="inlineStr">
        <is>
          <t>Card-Based Analysis</t>
        </is>
      </c>
    </row>
    <row r="6" ht="30" customHeight="1">
      <c r="A6" s="675" t="inlineStr">
        <is>
          <t>vs Draven (meta)</t>
        </is>
      </c>
      <c r="B6" s="676" t="inlineStr">
        <is>
          <t>42%</t>
        </is>
      </c>
      <c r="C6" s="676" t="inlineStr">
        <is>
          <t>✗ SB NEEDED</t>
        </is>
      </c>
      <c r="D6" s="677" t="inlineStr"/>
      <c r="E6" s="677" t="inlineStr"/>
      <c r="F6" s="677" t="inlineStr"/>
      <c r="G6" s="677" t="inlineStr"/>
      <c r="H6" s="111" t="inlineStr">
        <is>
          <t>ASSAULT flood eats weak units. Draven draws every combat win. You must answer his combat pump spells or he runs away on cards.</t>
        </is>
      </c>
    </row>
    <row r="7" ht="30" customHeight="1">
      <c r="A7" s="678" t="inlineStr">
        <is>
          <t>vs Irelia (meta)</t>
        </is>
      </c>
      <c r="B7" s="679" t="inlineStr">
        <is>
          <t>68%</t>
        </is>
      </c>
      <c r="C7" s="679" t="inlineStr">
        <is>
          <t>✓ STRONG</t>
        </is>
      </c>
      <c r="D7" s="680" t="inlineStr"/>
      <c r="E7" s="680" t="inlineStr"/>
      <c r="F7" s="680" t="inlineStr"/>
      <c r="G7" s="680" t="inlineStr"/>
      <c r="H7" s="112" t="inlineStr">
        <is>
          <t>She protects one unit and double-conquers. Your deck floods 2+ units at fields she can only cover one of. She can't be everywhere.</t>
        </is>
      </c>
    </row>
    <row r="8" ht="30" customHeight="1">
      <c r="A8" s="678" t="inlineStr">
        <is>
          <t>vs Ezreal (meta)</t>
        </is>
      </c>
      <c r="B8" s="679" t="inlineStr">
        <is>
          <t>72%</t>
        </is>
      </c>
      <c r="C8" s="679" t="inlineStr">
        <is>
          <t>✓ STRONG</t>
        </is>
      </c>
      <c r="D8" s="680" t="inlineStr"/>
      <c r="E8" s="680" t="inlineStr"/>
      <c r="F8" s="680" t="inlineStr"/>
      <c r="G8" s="680" t="inlineStr"/>
      <c r="H8" s="112" t="inlineStr">
        <is>
          <t>Reactive draw engine. He needs to target your units twice per turn to draw. Play proactively, he can't keep up with your board pressure.</t>
        </is>
      </c>
    </row>
    <row r="9" ht="30" customHeight="1">
      <c r="A9" s="675" t="inlineStr">
        <is>
          <t>vs Draven (ours)</t>
        </is>
      </c>
      <c r="B9" s="676" t="inlineStr">
        <is>
          <t>38%</t>
        </is>
      </c>
      <c r="C9" s="676" t="inlineStr">
        <is>
          <t>✗ SB NEEDED</t>
        </is>
      </c>
      <c r="D9" s="677" t="inlineStr"/>
      <c r="E9" s="677" t="inlineStr"/>
      <c r="F9" s="677" t="inlineStr"/>
      <c r="G9" s="677" t="inlineStr"/>
      <c r="H9" s="111" t="inlineStr">
        <is>
          <t>Draven mirror or Draven vs your deck. ASSAULT units at similar M. Whoever draws Blood Rush or combat pump first wins. Close by design.</t>
        </is>
      </c>
    </row>
    <row r="10" ht="30" customHeight="1">
      <c r="A10" s="678" t="inlineStr">
        <is>
          <t>vs Volibear (ours)</t>
        </is>
      </c>
      <c r="B10" s="679" t="inlineStr">
        <is>
          <t>71%</t>
        </is>
      </c>
      <c r="C10" s="679" t="inlineStr">
        <is>
          <t>✓ STRONG</t>
        </is>
      </c>
      <c r="D10" s="680" t="inlineStr"/>
      <c r="E10" s="680" t="inlineStr"/>
      <c r="F10" s="680" t="inlineStr"/>
      <c r="G10" s="680" t="inlineStr"/>
      <c r="H10" s="112" t="inlineStr">
        <is>
          <t>Dragon is 9M. Arrives turn 6. Fast decks score 4-5pts before it lands. Slow decks fall behind waiting for ramp. G2 SB answers the dragon directly.</t>
        </is>
      </c>
    </row>
    <row r="11" ht="30" customHeight="1">
      <c r="A11" s="675" t="inlineStr">
        <is>
          <t>vs Miss Fortune (ours)</t>
        </is>
      </c>
      <c r="B11" s="676" t="inlineStr">
        <is>
          <t>52%</t>
        </is>
      </c>
      <c r="C11" s="676" t="inlineStr">
        <is>
          <t>✗ SB NEEDED</t>
        </is>
      </c>
      <c r="D11" s="677" t="inlineStr"/>
      <c r="E11" s="677" t="inlineStr"/>
      <c r="F11" s="677" t="inlineStr"/>
      <c r="G11" s="677" t="inlineStr"/>
      <c r="H11" s="111" t="inlineStr">
        <is>
          <t>Trinity Force passive scoring competes with your win condition. Mobile units hit both fields. Whoever scores faster wins. Always close.</t>
        </is>
      </c>
    </row>
    <row r="12" ht="18" customHeight="1">
      <c r="A12" s="673" t="inlineStr">
        <is>
          <t>META AVG G1</t>
        </is>
      </c>
      <c r="B12" s="681" t="inlineStr">
        <is>
          <t>61%</t>
        </is>
      </c>
      <c r="C12" s="681" t="inlineStr">
        <is>
          <t>PASS ✓</t>
        </is>
      </c>
      <c r="D12" s="669" t="inlineStr"/>
      <c r="E12" s="669" t="inlineStr"/>
      <c r="F12" s="669" t="inlineStr"/>
      <c r="G12" s="669" t="inlineStr"/>
      <c r="H12" s="682" t="inlineStr">
        <is>
          <t>G2 SB adds Sand Dragon for big unit matchups. Wizened Elder counters control.</t>
        </is>
      </c>
    </row>
    <row r="13" ht="4" customHeight="1">
      <c r="A13" s="672" t="inlineStr"/>
      <c r="B13" s="672" t="inlineStr"/>
      <c r="C13" s="672" t="inlineStr"/>
      <c r="D13" s="672" t="inlineStr"/>
      <c r="E13" s="672" t="inlineStr"/>
      <c r="F13" s="672" t="inlineStr"/>
      <c r="G13" s="672" t="inlineStr"/>
      <c r="H13" s="672" t="inlineStr"/>
    </row>
    <row r="14" ht="15" customHeight="1">
      <c r="A14" s="673" t="inlineStr">
        <is>
          <t>HOW TO PLAY — A B C D E F G</t>
        </is>
      </c>
      <c r="B14" s="669" t="inlineStr"/>
      <c r="C14" s="669" t="inlineStr"/>
      <c r="D14" s="669" t="inlineStr"/>
      <c r="E14" s="669" t="inlineStr"/>
      <c r="F14" s="669" t="inlineStr"/>
      <c r="G14" s="669" t="inlineStr"/>
      <c r="H14" s="669" t="inlineStr"/>
    </row>
    <row r="15" ht="32" customHeight="1">
      <c r="A15" s="683" t="inlineStr">
        <is>
          <t>A</t>
        </is>
      </c>
      <c r="B15" s="684" t="inlineStr">
        <is>
          <t>AWAKEN</t>
        </is>
      </c>
      <c r="C15" s="685" t="inlineStr">
        <is>
          <t>Everything readies. Check how many Sand Soldiers you have vs last turn.</t>
        </is>
      </c>
      <c r="D15" s="820" t="inlineStr"/>
      <c r="E15" s="820" t="inlineStr"/>
      <c r="F15" s="820" t="inlineStr"/>
      <c r="G15" s="820" t="inlineStr"/>
      <c r="H15" s="820" t="inlineStr"/>
    </row>
    <row r="16" ht="32" customHeight="1">
      <c r="A16" s="687" t="inlineStr">
        <is>
          <t>B</t>
        </is>
      </c>
      <c r="B16" s="688" t="inlineStr">
        <is>
          <t>BEGINNING</t>
        </is>
      </c>
      <c r="C16" s="685" t="inlineStr">
        <is>
          <t>Score points for each field you hold. Count if you're ahead or behind.</t>
        </is>
      </c>
      <c r="D16" s="820" t="inlineStr"/>
      <c r="E16" s="820" t="inlineStr"/>
      <c r="F16" s="820" t="inlineStr"/>
      <c r="G16" s="820" t="inlineStr"/>
      <c r="H16" s="820" t="inlineStr"/>
    </row>
    <row r="17" ht="32" customHeight="1">
      <c r="A17" s="689" t="inlineStr">
        <is>
          <t>C</t>
        </is>
      </c>
      <c r="B17" s="690" t="inlineStr">
        <is>
          <t>CHANNEL</t>
        </is>
      </c>
      <c r="C17" s="685" t="inlineStr">
        <is>
          <t>Draw your Calm (green) and Order (yellow) runes. Plan 2-3 soldier plays.</t>
        </is>
      </c>
      <c r="D17" s="820" t="inlineStr"/>
      <c r="E17" s="820" t="inlineStr"/>
      <c r="F17" s="820" t="inlineStr"/>
      <c r="G17" s="820" t="inlineStr"/>
      <c r="H17" s="820" t="inlineStr"/>
    </row>
    <row r="18" ht="32" customHeight="1">
      <c r="A18" s="691" t="inlineStr">
        <is>
          <t>D</t>
        </is>
      </c>
      <c r="B18" s="692" t="inlineStr">
        <is>
          <t>DRAW</t>
        </is>
      </c>
      <c r="C18" s="685" t="inlineStr">
        <is>
          <t>Draw 1 card. Azir legend lets you play a free Sand Soldier if you played equipment this turn.</t>
        </is>
      </c>
      <c r="D18" s="820" t="inlineStr"/>
      <c r="E18" s="820" t="inlineStr"/>
      <c r="F18" s="820" t="inlineStr"/>
      <c r="G18" s="820" t="inlineStr"/>
      <c r="H18" s="820" t="inlineStr"/>
    </row>
    <row r="19" ht="32" customHeight="1">
      <c r="A19" s="693" t="inlineStr">
        <is>
          <t>E</t>
        </is>
      </c>
      <c r="B19" s="694" t="inlineStr">
        <is>
          <t>EXHAUST</t>
        </is>
      </c>
      <c r="C19" s="685" t="inlineStr">
        <is>
          <t>Exhaust Azir legend: pay 1 + equipment card this turn = play a 2M Sand Soldier to base. Free unit every turn.</t>
        </is>
      </c>
      <c r="D19" s="820" t="inlineStr"/>
      <c r="E19" s="820" t="inlineStr"/>
      <c r="F19" s="820" t="inlineStr"/>
      <c r="G19" s="820" t="inlineStr"/>
      <c r="H19" s="820" t="inlineStr"/>
    </row>
    <row r="20" ht="32" customHeight="1">
      <c r="A20" s="695" t="inlineStr">
        <is>
          <t>F</t>
        </is>
      </c>
      <c r="B20" s="784" t="inlineStr">
        <is>
          <t>FLOOD</t>
        </is>
      </c>
      <c r="C20" s="685" t="inlineStr">
        <is>
          <t>Play your hand onto both fields. Prioritize covering the field your opponent is contesting. Sand Soldiers are free 2M units from legend.</t>
        </is>
      </c>
      <c r="D20" s="820" t="inlineStr"/>
      <c r="E20" s="820" t="inlineStr"/>
      <c r="F20" s="820" t="inlineStr"/>
      <c r="G20" s="820" t="inlineStr"/>
      <c r="H20" s="820" t="inlineStr"/>
    </row>
    <row r="21" ht="32" customHeight="1">
      <c r="A21" s="697" t="inlineStr">
        <is>
          <t>G</t>
        </is>
      </c>
      <c r="B21" s="698" t="inlineStr">
        <is>
          <t>GO</t>
        </is>
      </c>
      <c r="C21" s="685" t="inlineStr">
        <is>
          <t>Attack with soldiers at the open field. Hold soldiers at the contested field as defenders. Weaponmaster equips gear cheaply mid-attack.</t>
        </is>
      </c>
      <c r="D21" s="820" t="inlineStr"/>
      <c r="E21" s="820" t="inlineStr"/>
      <c r="F21" s="820" t="inlineStr"/>
      <c r="G21" s="820" t="inlineStr"/>
      <c r="H21" s="820" t="inlineStr"/>
    </row>
    <row r="22" ht="4" customHeight="1">
      <c r="A22" s="672" t="inlineStr"/>
      <c r="B22" s="672" t="inlineStr"/>
      <c r="C22" s="672" t="inlineStr"/>
      <c r="D22" s="672" t="inlineStr"/>
      <c r="E22" s="672" t="inlineStr"/>
      <c r="F22" s="672" t="inlineStr"/>
      <c r="G22" s="672" t="inlineStr"/>
      <c r="H22" s="672" t="inlineStr"/>
    </row>
    <row r="23" ht="15" customHeight="1">
      <c r="A23" s="673" t="inlineStr">
        <is>
          <t>LEGEND + CHAMPION ZONE</t>
        </is>
      </c>
      <c r="B23" s="669" t="inlineStr"/>
      <c r="C23" s="669" t="inlineStr"/>
      <c r="D23" s="669" t="inlineStr"/>
      <c r="E23" s="669" t="inlineStr"/>
      <c r="F23" s="669" t="inlineStr"/>
      <c r="G23" s="669" t="inlineStr"/>
      <c r="H23" s="669" t="inlineStr"/>
    </row>
    <row r="24" ht="18" customHeight="1">
      <c r="A24" s="811" t="inlineStr">
        <is>
          <t>Card ID</t>
        </is>
      </c>
      <c r="B24" s="811" t="inlineStr">
        <is>
          <t>Qty</t>
        </is>
      </c>
      <c r="C24" s="811" t="inlineStr">
        <is>
          <t>Zone</t>
        </is>
      </c>
      <c r="D24" s="811" t="inlineStr">
        <is>
          <t>Name</t>
        </is>
      </c>
      <c r="E24" s="811" t="inlineStr">
        <is>
          <t>Domain</t>
        </is>
      </c>
      <c r="F24" s="811" t="inlineStr">
        <is>
          <t>Cost</t>
        </is>
      </c>
      <c r="G24" s="811" t="inlineStr">
        <is>
          <t>Might</t>
        </is>
      </c>
      <c r="H24" s="811" t="inlineStr">
        <is>
          <t>Notes</t>
        </is>
      </c>
    </row>
    <row r="25" ht="32" customHeight="1">
      <c r="A25" s="679" t="inlineStr">
        <is>
          <t>SFD-197</t>
        </is>
      </c>
      <c r="B25" s="679" t="inlineStr">
        <is>
          <t>x1</t>
        </is>
      </c>
      <c r="C25" s="678" t="inlineStr">
        <is>
          <t>Legend Zone</t>
        </is>
      </c>
      <c r="D25" s="678" t="inlineStr">
        <is>
          <t>Azir - Emperor of the Sands</t>
        </is>
      </c>
      <c r="E25" s="680" t="inlineStr">
        <is>
          <t>Calm;Order</t>
        </is>
      </c>
      <c r="F25" s="699" t="inlineStr">
        <is>
          <t>0</t>
        </is>
      </c>
      <c r="G25" s="699" t="inlineStr">
        <is>
          <t>0</t>
        </is>
      </c>
      <c r="H25" s="112" t="inlineStr">
        <is>
          <t>Azir - Emperor of the Sands. Exhaust + 1 energy + equipment played this turn = free 2M Sand Soldier. Every turn you play equipment = free body.</t>
        </is>
      </c>
    </row>
    <row r="26" ht="32" customHeight="1">
      <c r="A26" s="802" t="inlineStr">
        <is>
          <t>SFD-177</t>
        </is>
      </c>
      <c r="B26" s="802" t="inlineStr">
        <is>
          <t>x1</t>
        </is>
      </c>
      <c r="C26" s="799" t="inlineStr">
        <is>
          <t>Champion Zone</t>
        </is>
      </c>
      <c r="D26" s="799" t="inlineStr">
        <is>
          <t>Azir - Sovereign</t>
        </is>
      </c>
      <c r="E26" s="702" t="inlineStr">
        <is>
          <t>Order</t>
        </is>
      </c>
      <c r="F26" s="801" t="inlineStr">
        <is>
          <t>4</t>
        </is>
      </c>
      <c r="G26" s="801" t="inlineStr">
        <is>
          <t>4</t>
        </is>
      </c>
      <c r="H26" s="217" t="inlineStr">
        <is>
          <t>Azir - Sovereign. 4/4 ACCELERATE. Calm: move me to another unit's location and swap positions. Equipment transfers with me.</t>
        </is>
      </c>
    </row>
    <row r="27" ht="4" customHeight="1">
      <c r="A27" s="672" t="inlineStr"/>
      <c r="B27" s="672" t="inlineStr"/>
      <c r="C27" s="672" t="inlineStr"/>
      <c r="D27" s="672" t="inlineStr"/>
      <c r="E27" s="672" t="inlineStr"/>
      <c r="F27" s="672" t="inlineStr"/>
      <c r="G27" s="672" t="inlineStr"/>
      <c r="H27" s="672" t="inlineStr"/>
    </row>
    <row r="28" ht="15" customHeight="1">
      <c r="A28" s="673" t="inlineStr">
        <is>
          <t>MAIN DECK — 40 Cards</t>
        </is>
      </c>
      <c r="B28" s="669" t="inlineStr"/>
      <c r="C28" s="669" t="inlineStr"/>
      <c r="D28" s="669" t="inlineStr"/>
      <c r="E28" s="669" t="inlineStr"/>
      <c r="F28" s="669" t="inlineStr"/>
      <c r="G28" s="669" t="inlineStr"/>
      <c r="H28" s="669" t="inlineStr"/>
    </row>
    <row r="29" ht="18" customHeight="1">
      <c r="A29" s="811" t="inlineStr">
        <is>
          <t>Card ID</t>
        </is>
      </c>
      <c r="B29" s="811" t="inlineStr">
        <is>
          <t>Qty</t>
        </is>
      </c>
      <c r="C29" s="811" t="inlineStr">
        <is>
          <t>Role</t>
        </is>
      </c>
      <c r="D29" s="811" t="inlineStr">
        <is>
          <t>Name</t>
        </is>
      </c>
      <c r="E29" s="811" t="inlineStr">
        <is>
          <t>Domain</t>
        </is>
      </c>
      <c r="F29" s="811" t="inlineStr">
        <is>
          <t>Cost</t>
        </is>
      </c>
      <c r="G29" s="811" t="inlineStr">
        <is>
          <t>Might</t>
        </is>
      </c>
      <c r="H29" s="811" t="inlineStr">
        <is>
          <t>Card Function</t>
        </is>
      </c>
    </row>
    <row r="30" ht="26" customHeight="1">
      <c r="A30" s="679" t="inlineStr">
        <is>
          <t>OGN-058</t>
        </is>
      </c>
      <c r="B30" s="679" t="n">
        <v>3</v>
      </c>
      <c r="C30" s="680" t="inlineStr">
        <is>
          <t>Reaction</t>
        </is>
      </c>
      <c r="D30" s="678" t="inlineStr">
        <is>
          <t>Discipline</t>
        </is>
      </c>
      <c r="E30" s="699" t="inlineStr">
        <is>
          <t>Calm</t>
        </is>
      </c>
      <c r="F30" s="699" t="inlineStr">
        <is>
          <t>2</t>
        </is>
      </c>
      <c r="G30" s="699" t="inlineStr">
        <is>
          <t>0</t>
        </is>
      </c>
      <c r="H30" s="112" t="inlineStr">
        <is>
          <t>Back to Back. Reaction. Give 2 friendly units +1M and SHIELD this turn. Survive combat.</t>
        </is>
      </c>
    </row>
    <row r="31" ht="26" customHeight="1">
      <c r="A31" s="802" t="inlineStr">
        <is>
          <t>OGN-209</t>
        </is>
      </c>
      <c r="B31" s="802" t="n">
        <v>2</v>
      </c>
      <c r="C31" s="702" t="inlineStr">
        <is>
          <t>Removal</t>
        </is>
      </c>
      <c r="D31" s="799" t="inlineStr">
        <is>
          <t>Cull the Weak</t>
        </is>
      </c>
      <c r="E31" s="801" t="inlineStr">
        <is>
          <t>Order</t>
        </is>
      </c>
      <c r="F31" s="801" t="inlineStr">
        <is>
          <t>2</t>
        </is>
      </c>
      <c r="G31" s="801" t="inlineStr">
        <is>
          <t>0</t>
        </is>
      </c>
      <c r="H31" s="217" t="inlineStr">
        <is>
          <t>Cull the Weak. Each player kills one of their own units. Remove opponent's key unit safely.</t>
        </is>
      </c>
    </row>
    <row r="32" ht="26" customHeight="1">
      <c r="A32" s="802" t="inlineStr">
        <is>
          <t>OGN-213</t>
        </is>
      </c>
      <c r="B32" s="802" t="n">
        <v>2</v>
      </c>
      <c r="C32" s="702" t="inlineStr">
        <is>
          <t>Body</t>
        </is>
      </c>
      <c r="D32" s="799" t="inlineStr">
        <is>
          <t>Hidden Blade</t>
        </is>
      </c>
      <c r="E32" s="801" t="inlineStr">
        <is>
          <t>Order</t>
        </is>
      </c>
      <c r="F32" s="801" t="inlineStr">
        <is>
          <t>2</t>
        </is>
      </c>
      <c r="G32" s="801" t="inlineStr">
        <is>
          <t>0</t>
        </is>
      </c>
      <c r="H32" s="217" t="inlineStr">
        <is>
          <t>Spectral Matron. 4/4. When played, play a unit cost ≤3 from hand too. Two bodies one cost.</t>
        </is>
      </c>
    </row>
    <row r="33" ht="26" customHeight="1">
      <c r="A33" s="679" t="inlineStr">
        <is>
          <t>SFD-031</t>
        </is>
      </c>
      <c r="B33" s="679" t="n">
        <v>3</v>
      </c>
      <c r="C33" s="680" t="inlineStr">
        <is>
          <t>Body</t>
        </is>
      </c>
      <c r="D33" s="678" t="inlineStr">
        <is>
          <t>Desert's Call</t>
        </is>
      </c>
      <c r="E33" s="699" t="inlineStr">
        <is>
          <t>Calm</t>
        </is>
      </c>
      <c r="F33" s="699" t="inlineStr">
        <is>
          <t>2</t>
        </is>
      </c>
      <c r="G33" s="699" t="inlineStr"/>
      <c r="H33" s="112" t="inlineStr">
        <is>
          <t>Royal Guard. Play = play a 2M Sand Soldier here. Instant two bodies for one card.</t>
        </is>
      </c>
    </row>
    <row r="34" ht="26" customHeight="1">
      <c r="A34" s="679" t="inlineStr">
        <is>
          <t>SFD-033</t>
        </is>
      </c>
      <c r="B34" s="679" t="n">
        <v>3</v>
      </c>
      <c r="C34" s="680" t="inlineStr">
        <is>
          <t>Equipment</t>
        </is>
      </c>
      <c r="D34" s="678" t="inlineStr">
        <is>
          <t>Doran's Shield</t>
        </is>
      </c>
      <c r="E34" s="699" t="inlineStr">
        <is>
          <t>Calm</t>
        </is>
      </c>
      <c r="F34" s="699" t="inlineStr">
        <is>
          <t>1</t>
        </is>
      </c>
      <c r="G34" s="699" t="inlineStr">
        <is>
          <t>0</t>
        </is>
      </c>
      <c r="H34" s="112" t="inlineStr">
        <is>
          <t>Doran's Shield. Equip Calm. Gives TANK. Shields your key unit from damage.</t>
        </is>
      </c>
    </row>
    <row r="35" ht="26" customHeight="1">
      <c r="A35" s="679" t="inlineStr">
        <is>
          <t>SFD-034</t>
        </is>
      </c>
      <c r="B35" s="679" t="n">
        <v>1</v>
      </c>
      <c r="C35" s="680" t="inlineStr">
        <is>
          <t>Pump</t>
        </is>
      </c>
      <c r="D35" s="678" t="inlineStr">
        <is>
          <t>Feral Strength</t>
        </is>
      </c>
      <c r="E35" s="699" t="inlineStr">
        <is>
          <t>Calm</t>
        </is>
      </c>
      <c r="F35" s="699" t="inlineStr">
        <is>
          <t>2</t>
        </is>
      </c>
      <c r="G35" s="699" t="inlineStr">
        <is>
          <t>0</t>
        </is>
      </c>
      <c r="H35" s="112" t="inlineStr">
        <is>
          <t>Feral Strength. Reaction +2M REPEAT 2 = +4M. Surprise combat win reaction.</t>
        </is>
      </c>
    </row>
    <row r="36" ht="26" customHeight="1">
      <c r="A36" s="679" t="inlineStr">
        <is>
          <t>SFD-038</t>
        </is>
      </c>
      <c r="B36" s="679" t="n">
        <v>3</v>
      </c>
      <c r="C36" s="680" t="inlineStr">
        <is>
          <t>Equipment</t>
        </is>
      </c>
      <c r="D36" s="678" t="inlineStr">
        <is>
          <t>Ribbon Dancer</t>
        </is>
      </c>
      <c r="E36" s="699" t="inlineStr">
        <is>
          <t>Calm</t>
        </is>
      </c>
      <c r="F36" s="699" t="inlineStr">
        <is>
          <t>3</t>
        </is>
      </c>
      <c r="G36" s="699" t="inlineStr">
        <is>
          <t>3</t>
        </is>
      </c>
      <c r="H36" s="112" t="inlineStr">
        <is>
          <t>Altar of Memories. Gear. When friendly unit dies, exhaust to draw 1. Death = draw.</t>
        </is>
      </c>
    </row>
    <row r="37" ht="26" customHeight="1">
      <c r="A37" s="679" t="inlineStr">
        <is>
          <t>SFD-039</t>
        </is>
      </c>
      <c r="B37" s="679" t="n">
        <v>3</v>
      </c>
      <c r="C37" s="680" t="inlineStr">
        <is>
          <t>Equipment</t>
        </is>
      </c>
      <c r="D37" s="678" t="inlineStr">
        <is>
          <t>Royal Entourage</t>
        </is>
      </c>
      <c r="E37" s="699" t="inlineStr">
        <is>
          <t>Calm</t>
        </is>
      </c>
      <c r="F37" s="699" t="inlineStr">
        <is>
          <t>3</t>
        </is>
      </c>
      <c r="G37" s="699" t="inlineStr">
        <is>
          <t>4</t>
        </is>
      </c>
      <c r="H37" s="112" t="inlineStr">
        <is>
          <t>Sacred Shears. Equip Order. DEATHKNELL: draw 1. Die and replace yourself.</t>
        </is>
      </c>
    </row>
    <row r="38" ht="26" customHeight="1">
      <c r="A38" s="679" t="inlineStr">
        <is>
          <t>SFD-042</t>
        </is>
      </c>
      <c r="B38" s="679" t="n">
        <v>3</v>
      </c>
      <c r="C38" s="680" t="inlineStr">
        <is>
          <t>Equipment</t>
        </is>
      </c>
      <c r="D38" s="678" t="inlineStr">
        <is>
          <t>Brutalizer</t>
        </is>
      </c>
      <c r="E38" s="699" t="inlineStr">
        <is>
          <t>Calm</t>
        </is>
      </c>
      <c r="F38" s="699" t="inlineStr">
        <is>
          <t>2</t>
        </is>
      </c>
      <c r="G38" s="699" t="inlineStr"/>
      <c r="H38" s="112" t="inlineStr">
        <is>
          <t>Brutalizer. Equip Calm. +1M base, +2M if attached this turn. Combo with Azir legend trigger.</t>
        </is>
      </c>
    </row>
    <row r="39" ht="26" customHeight="1">
      <c r="A39" s="679" t="inlineStr">
        <is>
          <t>SFD-043</t>
        </is>
      </c>
      <c r="B39" s="679" t="n">
        <v>3</v>
      </c>
      <c r="C39" s="680" t="inlineStr">
        <is>
          <t>Body</t>
        </is>
      </c>
      <c r="D39" s="678" t="inlineStr">
        <is>
          <t>Emperor's Divide</t>
        </is>
      </c>
      <c r="E39" s="699" t="inlineStr">
        <is>
          <t>Calm</t>
        </is>
      </c>
      <c r="F39" s="699" t="inlineStr">
        <is>
          <t>2</t>
        </is>
      </c>
      <c r="G39" s="699" t="inlineStr"/>
      <c r="H39" s="112" t="inlineStr">
        <is>
          <t>Laurent Duelist. 4/3. ASSAULT 2 = attacks as 5M. Synergizes with Azir equipment flow.</t>
        </is>
      </c>
    </row>
    <row r="40" ht="26" customHeight="1">
      <c r="A40" s="679" t="inlineStr">
        <is>
          <t>SFD-051</t>
        </is>
      </c>
      <c r="B40" s="679" t="n">
        <v>1</v>
      </c>
      <c r="C40" s="680" t="inlineStr">
        <is>
          <t>Finisher</t>
        </is>
      </c>
      <c r="D40" s="678" t="inlineStr">
        <is>
          <t>Guardian Angel</t>
        </is>
      </c>
      <c r="E40" s="699" t="inlineStr">
        <is>
          <t>Calm</t>
        </is>
      </c>
      <c r="F40" s="699" t="inlineStr">
        <is>
          <t>2</t>
        </is>
      </c>
      <c r="G40" s="699" t="inlineStr">
        <is>
          <t>0</t>
        </is>
      </c>
      <c r="H40" s="112" t="inlineStr">
        <is>
          <t>Grand Strategem. Give ALL friendly units +5M this turn. Soldiers become 7M. Everything wins.</t>
        </is>
      </c>
    </row>
    <row r="41" ht="26" customHeight="1">
      <c r="A41" s="802" t="inlineStr">
        <is>
          <t>SFD-153</t>
        </is>
      </c>
      <c r="B41" s="802" t="n">
        <v>3</v>
      </c>
      <c r="C41" s="702" t="inlineStr">
        <is>
          <t>Soldier</t>
        </is>
      </c>
      <c r="D41" s="799" t="inlineStr">
        <is>
          <t>Eye of the Herald</t>
        </is>
      </c>
      <c r="E41" s="801" t="inlineStr">
        <is>
          <t>Order</t>
        </is>
      </c>
      <c r="F41" s="801" t="inlineStr">
        <is>
          <t>1</t>
        </is>
      </c>
      <c r="G41" s="801" t="inlineStr"/>
      <c r="H41" s="217" t="inlineStr">
        <is>
          <t>Sand Soldier unit token. 2M. Plays from Azir legend free. The core of the strategy.</t>
        </is>
      </c>
    </row>
    <row r="42" ht="26" customHeight="1">
      <c r="A42" s="802" t="inlineStr">
        <is>
          <t>SFD-154</t>
        </is>
      </c>
      <c r="B42" s="802" t="n">
        <v>3</v>
      </c>
      <c r="C42" s="702" t="inlineStr">
        <is>
          <t>Equipment</t>
        </is>
      </c>
      <c r="D42" s="799" t="inlineStr">
        <is>
          <t>Guards!</t>
        </is>
      </c>
      <c r="E42" s="801" t="inlineStr">
        <is>
          <t>Order</t>
        </is>
      </c>
      <c r="F42" s="801" t="inlineStr">
        <is>
          <t>3</t>
        </is>
      </c>
      <c r="G42" s="801" t="inlineStr"/>
      <c r="H42" s="217" t="inlineStr">
        <is>
          <t>B.F. Sword. Equip Order. +3M. Turns any unit into a serious threat.</t>
        </is>
      </c>
    </row>
    <row r="43" ht="26" customHeight="1">
      <c r="A43" s="802" t="inlineStr">
        <is>
          <t>SFD-161</t>
        </is>
      </c>
      <c r="B43" s="802" t="n">
        <v>3</v>
      </c>
      <c r="C43" s="702" t="inlineStr">
        <is>
          <t>Equipment</t>
        </is>
      </c>
      <c r="D43" s="799" t="inlineStr">
        <is>
          <t>B.F. Sword</t>
        </is>
      </c>
      <c r="E43" s="801" t="inlineStr">
        <is>
          <t>Order</t>
        </is>
      </c>
      <c r="F43" s="801" t="inlineStr">
        <is>
          <t>4</t>
        </is>
      </c>
      <c r="G43" s="801" t="inlineStr">
        <is>
          <t>0</t>
        </is>
      </c>
      <c r="H43" s="217" t="inlineStr">
        <is>
          <t>Eye of the Herald. Equip Order. When equipped unit moves = play a Sand Soldier. Movement generates soldiers.</t>
        </is>
      </c>
    </row>
    <row r="44" ht="26" customHeight="1">
      <c r="A44" s="802" t="inlineStr">
        <is>
          <t>SFD-163</t>
        </is>
      </c>
      <c r="B44" s="802" t="n">
        <v>2</v>
      </c>
      <c r="C44" s="702" t="inlineStr">
        <is>
          <t>Body</t>
        </is>
      </c>
      <c r="D44" s="799" t="inlineStr">
        <is>
          <t>Deathgrip</t>
        </is>
      </c>
      <c r="E44" s="801" t="inlineStr">
        <is>
          <t>Order</t>
        </is>
      </c>
      <c r="F44" s="801" t="inlineStr">
        <is>
          <t>2</t>
        </is>
      </c>
      <c r="G44" s="801" t="inlineStr"/>
      <c r="H44" s="217" t="inlineStr">
        <is>
          <t>Unsung Hero. 2/2. DEATHKNELL if MIGHTY: draw 2. Buff it once, it dies drawing 2 cards.</t>
        </is>
      </c>
    </row>
    <row r="45" ht="26" customHeight="1">
      <c r="A45" s="802" t="inlineStr">
        <is>
          <t>SFD-172</t>
        </is>
      </c>
      <c r="B45" s="802" t="n">
        <v>1</v>
      </c>
      <c r="C45" s="702" t="inlineStr">
        <is>
          <t>Equipment</t>
        </is>
      </c>
      <c r="D45" s="799" t="inlineStr">
        <is>
          <t>Sacred Shears</t>
        </is>
      </c>
      <c r="E45" s="801" t="inlineStr">
        <is>
          <t>Order</t>
        </is>
      </c>
      <c r="F45" s="801" t="inlineStr">
        <is>
          <t>2</t>
        </is>
      </c>
      <c r="G45" s="801" t="inlineStr"/>
      <c r="H45" s="217" t="inlineStr">
        <is>
          <t>Assembly Rig. Equipment + Fury. Recycle + spawn Mech token. Gear engine.</t>
        </is>
      </c>
    </row>
    <row r="46" ht="26" customHeight="1">
      <c r="A46" s="679" t="inlineStr">
        <is>
          <t>SFD-198</t>
        </is>
      </c>
      <c r="B46" s="679" t="n">
        <v>1</v>
      </c>
      <c r="C46" s="680" t="inlineStr">
        <is>
          <t>Finisher</t>
        </is>
      </c>
      <c r="D46" s="678" t="inlineStr">
        <is>
          <t>Arise!</t>
        </is>
      </c>
      <c r="E46" s="699" t="inlineStr">
        <is>
          <t>Calm;Order</t>
        </is>
      </c>
      <c r="F46" s="699" t="inlineStr">
        <is>
          <t>6</t>
        </is>
      </c>
      <c r="G46" s="699" t="inlineStr"/>
      <c r="H46" s="112" t="inlineStr">
        <is>
          <t>Arise! Epic signature. Play a 2M Sand Soldier for every equipment you control. One card = 3-4 soldiers.</t>
        </is>
      </c>
    </row>
    <row r="47" ht="16" customHeight="1">
      <c r="A47" s="681" t="inlineStr">
        <is>
          <t>TOTAL</t>
        </is>
      </c>
      <c r="B47" s="681" t="n">
        <v>40</v>
      </c>
      <c r="C47" s="669" t="inlineStr"/>
      <c r="D47" s="669" t="inlineStr"/>
      <c r="E47" s="669" t="inlineStr"/>
      <c r="F47" s="669" t="inlineStr"/>
      <c r="G47" s="669" t="inlineStr"/>
      <c r="H47" s="669" t="inlineStr"/>
    </row>
    <row r="48" ht="4" customHeight="1">
      <c r="A48" s="672" t="inlineStr"/>
      <c r="B48" s="672" t="inlineStr"/>
      <c r="C48" s="672" t="inlineStr"/>
      <c r="D48" s="672" t="inlineStr"/>
      <c r="E48" s="672" t="inlineStr"/>
      <c r="F48" s="672" t="inlineStr"/>
      <c r="G48" s="672" t="inlineStr"/>
      <c r="H48" s="672" t="inlineStr"/>
    </row>
    <row r="49" ht="16" customHeight="1">
      <c r="A49" s="704" t="inlineStr">
        <is>
          <t>RUNE DECK (12)</t>
        </is>
      </c>
      <c r="B49" s="705" t="inlineStr">
        <is>
          <t>6x Calm (Green) + 6x Order (Yellow) — Completely clean. No overlap with Voli/MF/Draven.</t>
        </is>
      </c>
      <c r="C49" s="706" t="inlineStr"/>
      <c r="D49" s="706" t="inlineStr"/>
      <c r="E49" s="706" t="inlineStr"/>
      <c r="F49" s="706" t="inlineStr"/>
      <c r="G49" s="706" t="inlineStr"/>
      <c r="H49" s="706" t="inlineStr"/>
    </row>
    <row r="50" ht="4" customHeight="1">
      <c r="A50" s="672" t="inlineStr"/>
      <c r="B50" s="672" t="inlineStr"/>
      <c r="C50" s="672" t="inlineStr"/>
      <c r="D50" s="672" t="inlineStr"/>
      <c r="E50" s="672" t="inlineStr"/>
      <c r="F50" s="672" t="inlineStr"/>
      <c r="G50" s="672" t="inlineStr"/>
      <c r="H50" s="672" t="inlineStr"/>
    </row>
    <row r="51" ht="15" customHeight="1">
      <c r="A51" s="673" t="inlineStr">
        <is>
          <t>SIDEBOARD — 8 Cards | G2 Designed to Flip Weak Matchups</t>
        </is>
      </c>
      <c r="B51" s="669" t="inlineStr"/>
      <c r="C51" s="669" t="inlineStr"/>
      <c r="D51" s="669" t="inlineStr"/>
      <c r="E51" s="669" t="inlineStr"/>
      <c r="F51" s="669" t="inlineStr"/>
      <c r="G51" s="669" t="inlineStr"/>
      <c r="H51" s="669" t="inlineStr"/>
    </row>
    <row r="52" ht="18" customHeight="1">
      <c r="A52" s="811" t="inlineStr">
        <is>
          <t>Card ID</t>
        </is>
      </c>
      <c r="B52" s="811" t="inlineStr">
        <is>
          <t>Qty</t>
        </is>
      </c>
      <c r="C52" s="811" t="inlineStr">
        <is>
          <t>Matchup</t>
        </is>
      </c>
      <c r="D52" s="811" t="inlineStr">
        <is>
          <t>Name</t>
        </is>
      </c>
      <c r="E52" s="811" t="inlineStr">
        <is>
          <t>Domain</t>
        </is>
      </c>
      <c r="F52" s="811" t="inlineStr">
        <is>
          <t>Cost</t>
        </is>
      </c>
      <c r="G52" s="811" t="inlineStr">
        <is>
          <t>Might</t>
        </is>
      </c>
      <c r="H52" s="811" t="inlineStr">
        <is>
          <t>G2 Plan + Swap</t>
        </is>
      </c>
    </row>
    <row r="53" ht="50" customHeight="1">
      <c r="A53" s="802" t="inlineStr">
        <is>
          <t>SFD-157</t>
        </is>
      </c>
      <c r="B53" s="802" t="n">
        <v>3</v>
      </c>
      <c r="C53" s="799" t="inlineStr">
        <is>
          <t>vs Fast Aggro</t>
        </is>
      </c>
      <c r="D53" s="799" t="inlineStr">
        <is>
          <t>Royal Guard</t>
        </is>
      </c>
      <c r="E53" s="801" t="inlineStr">
        <is>
          <t>Order</t>
        </is>
      </c>
      <c r="F53" s="801" t="inlineStr">
        <is>
          <t>4</t>
        </is>
      </c>
      <c r="G53" s="801" t="inlineStr">
        <is>
          <t>2</t>
        </is>
      </c>
      <c r="H53" s="217" t="inlineStr">
        <is>
          <t>Sandshifter. 5/6. Kills enemy unit 3M or less on play. Clears cheap blockers that clog your soldier flood. || SWAP: OUT: OGN-213 x2, SFD-163 x1 | IN: Sandshifter x3</t>
        </is>
      </c>
    </row>
    <row r="54" ht="50" customHeight="1">
      <c r="A54" s="802" t="inlineStr">
        <is>
          <t>SFD-159</t>
        </is>
      </c>
      <c r="B54" s="802" t="n">
        <v>3</v>
      </c>
      <c r="C54" s="799" t="inlineStr">
        <is>
          <t>vs Control</t>
        </is>
      </c>
      <c r="D54" s="799" t="inlineStr">
        <is>
          <t>Trusty Ramhound</t>
        </is>
      </c>
      <c r="E54" s="801" t="inlineStr">
        <is>
          <t>Order</t>
        </is>
      </c>
      <c r="F54" s="801" t="inlineStr">
        <is>
          <t>2</t>
        </is>
      </c>
      <c r="G54" s="801" t="inlineStr">
        <is>
          <t>2</t>
        </is>
      </c>
      <c r="H54" s="217" t="inlineStr">
        <is>
          <t>Wizened Elder. 4/4. While buffed = +1M extra. Buff twice = 6M. Control decks can't answer a growing unit. || SWAP: OUT: OGN-058 x2, SFD-034 x1 | IN: Wizened Elder x3</t>
        </is>
      </c>
    </row>
    <row r="55" ht="50" customHeight="1">
      <c r="A55" s="802" t="inlineStr">
        <is>
          <t>SFD-158</t>
        </is>
      </c>
      <c r="B55" s="802" t="n">
        <v>1</v>
      </c>
      <c r="C55" s="799" t="inlineStr">
        <is>
          <t>vs Big Units</t>
        </is>
      </c>
      <c r="D55" s="799" t="inlineStr">
        <is>
          <t>Sandshifter</t>
        </is>
      </c>
      <c r="E55" s="801" t="inlineStr">
        <is>
          <t>Order</t>
        </is>
      </c>
      <c r="F55" s="801" t="inlineStr">
        <is>
          <t>5</t>
        </is>
      </c>
      <c r="G55" s="801" t="inlineStr">
        <is>
          <t>6</t>
        </is>
      </c>
      <c r="H55" s="217" t="inlineStr">
        <is>
          <t>Sandshifter extra. Additional copy for heavy big-unit metas. || SWAP: Flexible slot</t>
        </is>
      </c>
    </row>
    <row r="56" ht="50" customHeight="1">
      <c r="A56" s="679" t="inlineStr">
        <is>
          <t>OGN-065</t>
        </is>
      </c>
      <c r="B56" s="679" t="n">
        <v>1</v>
      </c>
      <c r="C56" s="678" t="inlineStr">
        <is>
          <t>vs Reactive Decks</t>
        </is>
      </c>
      <c r="D56" s="678" t="inlineStr">
        <is>
          <t>Wizened Elder</t>
        </is>
      </c>
      <c r="E56" s="699" t="inlineStr">
        <is>
          <t>Calm</t>
        </is>
      </c>
      <c r="F56" s="699" t="inlineStr">
        <is>
          <t>4</t>
        </is>
      </c>
      <c r="G56" s="699" t="inlineStr">
        <is>
          <t>4</t>
        </is>
      </c>
      <c r="H56" s="112" t="inlineStr">
        <is>
          <t>Wizened Elder extra. Additional growing threat. || SWAP: Flexible slot</t>
        </is>
      </c>
    </row>
    <row r="57" ht="4" customHeight="1">
      <c r="A57" s="672" t="inlineStr"/>
      <c r="B57" s="672" t="inlineStr"/>
      <c r="C57" s="672" t="inlineStr"/>
      <c r="D57" s="672" t="inlineStr"/>
      <c r="E57" s="672" t="inlineStr"/>
      <c r="F57" s="672" t="inlineStr"/>
      <c r="G57" s="672" t="inlineStr"/>
      <c r="H57" s="672" t="inlineStr"/>
    </row>
    <row r="58" ht="15" customHeight="1">
      <c r="A58" s="673" t="inlineStr">
        <is>
          <t>GOLDEN RULES</t>
        </is>
      </c>
      <c r="B58" s="669" t="inlineStr"/>
      <c r="C58" s="669" t="inlineStr"/>
      <c r="D58" s="669" t="inlineStr"/>
      <c r="E58" s="669" t="inlineStr"/>
      <c r="F58" s="669" t="inlineStr"/>
      <c r="G58" s="669" t="inlineStr"/>
      <c r="H58" s="669" t="inlineStr"/>
    </row>
    <row r="59" ht="28" customHeight="1">
      <c r="A59" s="707" t="inlineStr">
        <is>
          <t>1</t>
        </is>
      </c>
      <c r="B59" s="97" t="inlineStr">
        <is>
          <t>Play equipment every turn to trigger Azir legend. Even cheap 1-cost equipment activates the free soldier. Never skip equipment.</t>
        </is>
      </c>
      <c r="C59" s="774" t="inlineStr"/>
      <c r="D59" s="774" t="inlineStr"/>
      <c r="E59" s="774" t="inlineStr"/>
      <c r="F59" s="774" t="inlineStr"/>
      <c r="G59" s="774" t="inlineStr"/>
      <c r="H59" s="774" t="inlineStr"/>
    </row>
    <row r="60" ht="28" customHeight="1">
      <c r="A60" s="709" t="inlineStr">
        <is>
          <t>2</t>
        </is>
      </c>
      <c r="B60" s="101" t="inlineStr">
        <is>
          <t>Cover both fields. Send soldiers to the empty field — even 1 soldier holding scores a point. Opponent can't be everywhere.</t>
        </is>
      </c>
      <c r="C60" s="710" t="inlineStr"/>
      <c r="D60" s="710" t="inlineStr"/>
      <c r="E60" s="710" t="inlineStr"/>
      <c r="F60" s="710" t="inlineStr"/>
      <c r="G60" s="710" t="inlineStr"/>
      <c r="H60" s="710" t="inlineStr"/>
    </row>
    <row r="61" ht="28" customHeight="1">
      <c r="A61" s="707" t="inlineStr">
        <is>
          <t>3</t>
        </is>
      </c>
      <c r="B61" s="97" t="inlineStr">
        <is>
          <t>Arise! is your biggest turn. Wait until you have 3+ equipment in play. One card makes 3-4 soldiers instantly. Play it when opponent is tapped out.</t>
        </is>
      </c>
      <c r="C61" s="774" t="inlineStr"/>
      <c r="D61" s="774" t="inlineStr"/>
      <c r="E61" s="774" t="inlineStr"/>
      <c r="F61" s="774" t="inlineStr"/>
      <c r="G61" s="774" t="inlineStr"/>
      <c r="H61" s="774" t="inlineStr"/>
    </row>
    <row r="62" ht="28" customHeight="1">
      <c r="A62" s="709" t="inlineStr">
        <is>
          <t>4</t>
        </is>
      </c>
      <c r="B62" s="101" t="inlineStr">
        <is>
          <t>Grand Strategem wins the game on one turn. Wait until you have 6+ units across both fields. Play it. Everything is 7M. Attack. Win everything.</t>
        </is>
      </c>
      <c r="C62" s="710" t="inlineStr"/>
      <c r="D62" s="710" t="inlineStr"/>
      <c r="E62" s="710" t="inlineStr"/>
      <c r="F62" s="710" t="inlineStr"/>
      <c r="G62" s="710" t="inlineStr"/>
      <c r="H62" s="710" t="inlineStr"/>
    </row>
    <row r="63" ht="28" customHeight="1">
      <c r="A63" s="707" t="inlineStr">
        <is>
          <t>5</t>
        </is>
      </c>
      <c r="B63" s="97" t="inlineStr">
        <is>
          <t>Azir Sovereign moves and swaps with another unit. Move him to a contested field mid-attack. Bring equipment with him. Surprise attacker.</t>
        </is>
      </c>
      <c r="C63" s="774" t="inlineStr"/>
      <c r="D63" s="774" t="inlineStr"/>
      <c r="E63" s="774" t="inlineStr"/>
      <c r="F63" s="774" t="inlineStr"/>
      <c r="G63" s="774" t="inlineStr"/>
      <c r="H63" s="774" t="inlineStr"/>
    </row>
    <row r="64" ht="28" customHeight="1">
      <c r="A64" s="709" t="inlineStr">
        <is>
          <t>6</t>
        </is>
      </c>
      <c r="B64" s="101" t="inlineStr">
        <is>
          <t>Royal Guard plays a soldier immediately. Two bodies for one card. Always worth playing on any turn where you have the runes.</t>
        </is>
      </c>
      <c r="C64" s="710" t="inlineStr"/>
      <c r="D64" s="710" t="inlineStr"/>
      <c r="E64" s="710" t="inlineStr"/>
      <c r="F64" s="710" t="inlineStr"/>
      <c r="G64" s="710" t="inlineStr"/>
      <c r="H64" s="710" t="inlineStr"/>
    </row>
    <row r="65" ht="28" customHeight="1">
      <c r="A65" s="707" t="inlineStr">
        <is>
          <t>7</t>
        </is>
      </c>
      <c r="B65" s="97" t="inlineStr">
        <is>
          <t>Unsung Hero: buff it first with Feral Strength or B.F. Sword. Then let it die in combat. Drawing 2 cards from a unit death is massive.</t>
        </is>
      </c>
      <c r="C65" s="774" t="inlineStr"/>
      <c r="D65" s="774" t="inlineStr"/>
      <c r="E65" s="774" t="inlineStr"/>
      <c r="F65" s="774" t="inlineStr"/>
      <c r="G65" s="774" t="inlineStr"/>
      <c r="H65" s="774" t="inlineStr"/>
    </row>
    <row r="66" ht="28" customHeight="1">
      <c r="A66" s="709" t="inlineStr">
        <is>
          <t>8</t>
        </is>
      </c>
      <c r="B66" s="101" t="inlineStr">
        <is>
          <t>G2 SB: Sandshifter kills cheap blockers that stop soldier flood. Wizened Elder grows vs control decks that remove small units.</t>
        </is>
      </c>
      <c r="C66" s="710" t="inlineStr"/>
      <c r="D66" s="710" t="inlineStr"/>
      <c r="E66" s="710" t="inlineStr"/>
      <c r="F66" s="710" t="inlineStr"/>
      <c r="G66" s="710" t="inlineStr"/>
      <c r="H66" s="710"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2:I28"/>
  <sheetViews>
    <sheetView workbookViewId="0">
      <pane ySplit="1" topLeftCell="A2" activePane="bottomLeft" state="frozen"/>
      <selection pane="bottomLeft" activeCell="A1" sqref="A1"/>
    </sheetView>
  </sheetViews>
  <sheetFormatPr baseColWidth="8" defaultRowHeight="15"/>
  <cols>
    <col width="28" customWidth="1" min="1" max="1"/>
    <col width="8" customWidth="1" min="2" max="2"/>
    <col width="8" customWidth="1" min="3" max="3"/>
    <col width="10" customWidth="1" min="4" max="4"/>
    <col width="10" customWidth="1" min="5" max="5"/>
    <col width="10" customWidth="1" min="6" max="6"/>
    <col width="10" customWidth="1" min="7" max="7"/>
    <col width="10" customWidth="1" min="8" max="8"/>
    <col width="55" customWidth="1" min="9" max="9"/>
  </cols>
  <sheetData>
    <row r="2" ht="18" customHeight="1">
      <c r="A2" s="645" t="inlineStr">
        <is>
          <t>META THREAT CARDS — How Often They See Key Threats (per 40-card deck, 3 copies)</t>
        </is>
      </c>
      <c r="B2" s="744" t="inlineStr"/>
      <c r="C2" s="744" t="inlineStr"/>
      <c r="D2" s="744" t="inlineStr"/>
      <c r="E2" s="744" t="inlineStr"/>
      <c r="F2" s="744" t="inlineStr"/>
      <c r="G2" s="744" t="inlineStr"/>
      <c r="H2" s="744" t="inlineStr"/>
      <c r="I2" s="744" t="inlineStr"/>
    </row>
    <row r="4" ht="18" customHeight="1">
      <c r="A4" s="93" t="inlineStr">
        <is>
          <t>Card</t>
        </is>
      </c>
      <c r="B4" s="93" t="inlineStr">
        <is>
          <t>Deck</t>
        </is>
      </c>
      <c r="C4" s="93" t="inlineStr">
        <is>
          <t>Copies</t>
        </is>
      </c>
      <c r="D4" s="93" t="inlineStr">
        <is>
          <t>P(T1)%</t>
        </is>
      </c>
      <c r="E4" s="93" t="inlineStr">
        <is>
          <t>P(T2)%</t>
        </is>
      </c>
      <c r="F4" s="93" t="inlineStr">
        <is>
          <t>P(T3)%</t>
        </is>
      </c>
      <c r="G4" s="93" t="inlineStr">
        <is>
          <t>P(T4)%</t>
        </is>
      </c>
      <c r="H4" s="93" t="inlineStr">
        <is>
          <t>P(T5)%</t>
        </is>
      </c>
      <c r="I4" s="93" t="inlineStr">
        <is>
          <t>Role / Why It Matters</t>
        </is>
      </c>
    </row>
    <row r="5" ht="30" customHeight="1">
      <c r="A5" s="772" t="inlineStr">
        <is>
          <t>Draven - Vanquisher</t>
        </is>
      </c>
      <c r="B5" s="360" t="inlineStr">
        <is>
          <t>40</t>
        </is>
      </c>
      <c r="C5" s="707" t="n">
        <v>1</v>
      </c>
      <c r="D5" s="676" t="inlineStr">
        <is>
          <t>12.5%</t>
        </is>
      </c>
      <c r="E5" s="676" t="inlineStr">
        <is>
          <t>15.0%</t>
        </is>
      </c>
      <c r="F5" s="676" t="inlineStr">
        <is>
          <t>17.5%</t>
        </is>
      </c>
      <c r="G5" s="676" t="inlineStr">
        <is>
          <t>20.0%</t>
        </is>
      </c>
      <c r="H5" s="676" t="inlineStr">
        <is>
          <t>22.5%</t>
        </is>
      </c>
      <c r="I5" s="97" t="inlineStr">
        <is>
          <t>Core T2 threat. Hits 6M on every combat for 1 Fury. Draw on win.</t>
        </is>
      </c>
    </row>
    <row r="6" ht="30" customHeight="1">
      <c r="A6" s="100" t="inlineStr">
        <is>
          <t>Traveling Merchant</t>
        </is>
      </c>
      <c r="B6" s="99" t="inlineStr">
        <is>
          <t>40</t>
        </is>
      </c>
      <c r="C6" s="709" t="n">
        <v>3</v>
      </c>
      <c r="D6" s="676" t="inlineStr">
        <is>
          <t>33.8%</t>
        </is>
      </c>
      <c r="E6" s="676" t="inlineStr">
        <is>
          <t>39.4%</t>
        </is>
      </c>
      <c r="F6" s="615" t="inlineStr">
        <is>
          <t>44.8%</t>
        </is>
      </c>
      <c r="G6" s="615" t="inlineStr">
        <is>
          <t>49.8%</t>
        </is>
      </c>
      <c r="H6" s="615" t="inlineStr">
        <is>
          <t>54.5%</t>
        </is>
      </c>
      <c r="I6" s="101" t="inlineStr">
        <is>
          <t>Core draw/cycle engine in Draven and Ezreal. Always 3-of.</t>
        </is>
      </c>
    </row>
    <row r="7" ht="30" customHeight="1">
      <c r="A7" s="772" t="inlineStr">
        <is>
          <t>Battering Ram</t>
        </is>
      </c>
      <c r="B7" s="360" t="inlineStr">
        <is>
          <t>40</t>
        </is>
      </c>
      <c r="C7" s="707" t="n">
        <v>3</v>
      </c>
      <c r="D7" s="676" t="inlineStr">
        <is>
          <t>33.8%</t>
        </is>
      </c>
      <c r="E7" s="676" t="inlineStr">
        <is>
          <t>39.4%</t>
        </is>
      </c>
      <c r="F7" s="615" t="inlineStr">
        <is>
          <t>44.8%</t>
        </is>
      </c>
      <c r="G7" s="615" t="inlineStr">
        <is>
          <t>49.8%</t>
        </is>
      </c>
      <c r="H7" s="615" t="inlineStr">
        <is>
          <t>54.5%</t>
        </is>
      </c>
      <c r="I7" s="97" t="inlineStr">
        <is>
          <t>Combo finisher. 1 cost with 4 cards played. 5 Might.</t>
        </is>
      </c>
    </row>
    <row r="8" ht="30" customHeight="1">
      <c r="A8" s="100" t="inlineStr">
        <is>
          <t>Rhasa the Sunderer</t>
        </is>
      </c>
      <c r="B8" s="99" t="inlineStr">
        <is>
          <t>40</t>
        </is>
      </c>
      <c r="C8" s="709" t="n">
        <v>1</v>
      </c>
      <c r="D8" s="676" t="inlineStr">
        <is>
          <t>12.5%</t>
        </is>
      </c>
      <c r="E8" s="676" t="inlineStr">
        <is>
          <t>15.0%</t>
        </is>
      </c>
      <c r="F8" s="676" t="inlineStr">
        <is>
          <t>17.5%</t>
        </is>
      </c>
      <c r="G8" s="676" t="inlineStr">
        <is>
          <t>20.0%</t>
        </is>
      </c>
      <c r="H8" s="676" t="inlineStr">
        <is>
          <t>22.5%</t>
        </is>
      </c>
      <c r="I8" s="101" t="inlineStr">
        <is>
          <t>Combo finisher. 0-3 cost with full trash. 6 Might, enters READY.</t>
        </is>
      </c>
    </row>
    <row r="9" ht="30" customHeight="1">
      <c r="A9" s="772" t="inlineStr">
        <is>
          <t>Irelia - Fervent</t>
        </is>
      </c>
      <c r="B9" s="360" t="inlineStr">
        <is>
          <t>40</t>
        </is>
      </c>
      <c r="C9" s="707" t="n">
        <v>0</v>
      </c>
      <c r="D9" s="676" t="inlineStr">
        <is>
          <t>0.0%</t>
        </is>
      </c>
      <c r="E9" s="676" t="inlineStr">
        <is>
          <t>0.0%</t>
        </is>
      </c>
      <c r="F9" s="676" t="inlineStr">
        <is>
          <t>0.0%</t>
        </is>
      </c>
      <c r="G9" s="676" t="inlineStr">
        <is>
          <t>0.0%</t>
        </is>
      </c>
      <c r="H9" s="676" t="inlineStr">
        <is>
          <t>0.0%</t>
        </is>
      </c>
      <c r="I9" s="97" t="inlineStr">
        <is>
          <t>Irelia champion. T3 threat. Deflect. Grows on each trick.</t>
        </is>
      </c>
    </row>
    <row r="10" ht="30" customHeight="1">
      <c r="A10" s="100" t="inlineStr">
        <is>
          <t>Guardian Angel</t>
        </is>
      </c>
      <c r="B10" s="99" t="inlineStr">
        <is>
          <t>40</t>
        </is>
      </c>
      <c r="C10" s="709" t="n">
        <v>1</v>
      </c>
      <c r="D10" s="676" t="inlineStr">
        <is>
          <t>12.5%</t>
        </is>
      </c>
      <c r="E10" s="676" t="inlineStr">
        <is>
          <t>15.0%</t>
        </is>
      </c>
      <c r="F10" s="676" t="inlineStr">
        <is>
          <t>17.5%</t>
        </is>
      </c>
      <c r="G10" s="676" t="inlineStr">
        <is>
          <t>20.0%</t>
        </is>
      </c>
      <c r="H10" s="676" t="inlineStr">
        <is>
          <t>22.5%</t>
        </is>
      </c>
      <c r="I10" s="101" t="inlineStr">
        <is>
          <t>Irelia protection. First kill attempt fails. Need 2 answers for 1 unit.</t>
        </is>
      </c>
    </row>
    <row r="11" ht="30" customHeight="1">
      <c r="A11" s="772" t="inlineStr">
        <is>
          <t>Ravenbloom Student</t>
        </is>
      </c>
      <c r="B11" s="360" t="inlineStr">
        <is>
          <t>40</t>
        </is>
      </c>
      <c r="C11" s="707" t="n">
        <v>3</v>
      </c>
      <c r="D11" s="676" t="inlineStr">
        <is>
          <t>33.8%</t>
        </is>
      </c>
      <c r="E11" s="676" t="inlineStr">
        <is>
          <t>39.4%</t>
        </is>
      </c>
      <c r="F11" s="615" t="inlineStr">
        <is>
          <t>44.8%</t>
        </is>
      </c>
      <c r="G11" s="615" t="inlineStr">
        <is>
          <t>49.8%</t>
        </is>
      </c>
      <c r="H11" s="615" t="inlineStr">
        <is>
          <t>54.5%</t>
        </is>
      </c>
      <c r="I11" s="97" t="inlineStr">
        <is>
          <t>Ezreal win con. +1 Might per spell. Grows 3-5 Might per turn.</t>
        </is>
      </c>
    </row>
    <row r="12" ht="30" customHeight="1">
      <c r="A12" s="100" t="inlineStr">
        <is>
          <t>Ezreal - Prodigy</t>
        </is>
      </c>
      <c r="B12" s="99" t="inlineStr">
        <is>
          <t>40</t>
        </is>
      </c>
      <c r="C12" s="709" t="n">
        <v>1</v>
      </c>
      <c r="D12" s="676" t="inlineStr">
        <is>
          <t>12.5%</t>
        </is>
      </c>
      <c r="E12" s="676" t="inlineStr">
        <is>
          <t>15.0%</t>
        </is>
      </c>
      <c r="F12" s="676" t="inlineStr">
        <is>
          <t>17.5%</t>
        </is>
      </c>
      <c r="G12" s="676" t="inlineStr">
        <is>
          <t>20.0%</t>
        </is>
      </c>
      <c r="H12" s="676" t="inlineStr">
        <is>
          <t>22.5%</t>
        </is>
      </c>
      <c r="I12" s="101" t="inlineStr">
        <is>
          <t>Cost reducer. Enables Called Shot spam. Engine card.</t>
        </is>
      </c>
    </row>
    <row r="13" ht="30" customHeight="1">
      <c r="A13" s="772" t="inlineStr">
        <is>
          <t>Called Shot</t>
        </is>
      </c>
      <c r="B13" s="360" t="inlineStr">
        <is>
          <t>40</t>
        </is>
      </c>
      <c r="C13" s="707" t="n">
        <v>1</v>
      </c>
      <c r="D13" s="676" t="inlineStr">
        <is>
          <t>12.5%</t>
        </is>
      </c>
      <c r="E13" s="676" t="inlineStr">
        <is>
          <t>15.0%</t>
        </is>
      </c>
      <c r="F13" s="676" t="inlineStr">
        <is>
          <t>17.5%</t>
        </is>
      </c>
      <c r="G13" s="676" t="inlineStr">
        <is>
          <t>20.0%</t>
        </is>
      </c>
      <c r="H13" s="676" t="inlineStr">
        <is>
          <t>22.5%</t>
        </is>
      </c>
      <c r="I13" s="97" t="inlineStr">
        <is>
          <t>Repeat Chaos = draw engine. 0-1 cost with Ezreal Prodigy.</t>
        </is>
      </c>
    </row>
    <row r="14" ht="18" customHeight="1">
      <c r="A14" s="516" t="inlineStr">
        <is>
          <t>YOUR KEY COUNTERS — Probability in a 40-Card Deck</t>
        </is>
      </c>
      <c r="B14" s="301" t="inlineStr"/>
      <c r="C14" s="301" t="inlineStr"/>
      <c r="D14" s="301" t="inlineStr"/>
      <c r="E14" s="301" t="inlineStr"/>
      <c r="F14" s="301" t="inlineStr"/>
      <c r="G14" s="301" t="inlineStr"/>
      <c r="H14" s="301" t="inlineStr"/>
      <c r="I14" s="301" t="inlineStr"/>
    </row>
    <row r="16" ht="18" customHeight="1">
      <c r="A16" s="93" t="inlineStr">
        <is>
          <t>Card</t>
        </is>
      </c>
      <c r="B16" s="93" t="inlineStr">
        <is>
          <t>Deck</t>
        </is>
      </c>
      <c r="C16" s="93" t="inlineStr">
        <is>
          <t>Copies</t>
        </is>
      </c>
      <c r="D16" s="93" t="inlineStr">
        <is>
          <t>P(T1)%</t>
        </is>
      </c>
      <c r="E16" s="93" t="inlineStr">
        <is>
          <t>P(T2)%</t>
        </is>
      </c>
      <c r="F16" s="93" t="inlineStr">
        <is>
          <t>P(T3)%</t>
        </is>
      </c>
      <c r="G16" s="93" t="inlineStr">
        <is>
          <t>P(T4)%</t>
        </is>
      </c>
      <c r="H16" s="93" t="inlineStr">
        <is>
          <t>P(T5)%</t>
        </is>
      </c>
      <c r="I16" s="93" t="inlineStr">
        <is>
          <t>Role / Why It Matters</t>
        </is>
      </c>
    </row>
    <row r="17" ht="30" customHeight="1">
      <c r="A17" s="772" t="inlineStr">
        <is>
          <t>Minotaur Reckoner</t>
        </is>
      </c>
      <c r="B17" s="360" t="inlineStr">
        <is>
          <t>40</t>
        </is>
      </c>
      <c r="C17" s="707" t="n">
        <v>3</v>
      </c>
      <c r="D17" s="676" t="inlineStr">
        <is>
          <t>33.8%</t>
        </is>
      </c>
      <c r="E17" s="676" t="inlineStr">
        <is>
          <t>39.4%</t>
        </is>
      </c>
      <c r="F17" s="615" t="inlineStr">
        <is>
          <t>44.8%</t>
        </is>
      </c>
      <c r="G17" s="615" t="inlineStr">
        <is>
          <t>49.8%</t>
        </is>
      </c>
      <c r="H17" s="615" t="inlineStr">
        <is>
          <t>54.5%</t>
        </is>
      </c>
      <c r="I17" s="97" t="inlineStr">
        <is>
          <t>BEST COUNTER: Units cant move to base = shuts down Rhasa READY + Ram movement.</t>
        </is>
      </c>
    </row>
    <row r="18" ht="30" customHeight="1">
      <c r="A18" s="100" t="inlineStr">
        <is>
          <t>Thermo Beam</t>
        </is>
      </c>
      <c r="B18" s="99" t="inlineStr">
        <is>
          <t>40</t>
        </is>
      </c>
      <c r="C18" s="709" t="n">
        <v>3</v>
      </c>
      <c r="D18" s="676" t="inlineStr">
        <is>
          <t>33.8%</t>
        </is>
      </c>
      <c r="E18" s="676" t="inlineStr">
        <is>
          <t>39.4%</t>
        </is>
      </c>
      <c r="F18" s="615" t="inlineStr">
        <is>
          <t>44.8%</t>
        </is>
      </c>
      <c r="G18" s="615" t="inlineStr">
        <is>
          <t>49.8%</t>
        </is>
      </c>
      <c r="H18" s="615" t="inlineStr">
        <is>
          <t>54.5%</t>
        </is>
      </c>
      <c r="I18" s="101" t="inlineStr">
        <is>
          <t>Kill ALL gear at once. Destroys Guardian Angel, Scrapheap, Spinning Axe simultaneously.</t>
        </is>
      </c>
    </row>
    <row r="19" ht="30" customHeight="1">
      <c r="A19" s="772" t="inlineStr">
        <is>
          <t>Cruel Patron</t>
        </is>
      </c>
      <c r="B19" s="360" t="inlineStr">
        <is>
          <t>40</t>
        </is>
      </c>
      <c r="C19" s="707" t="n">
        <v>3</v>
      </c>
      <c r="D19" s="676" t="inlineStr">
        <is>
          <t>33.8%</t>
        </is>
      </c>
      <c r="E19" s="676" t="inlineStr">
        <is>
          <t>39.4%</t>
        </is>
      </c>
      <c r="F19" s="615" t="inlineStr">
        <is>
          <t>44.8%</t>
        </is>
      </c>
      <c r="G19" s="615" t="inlineStr">
        <is>
          <t>49.8%</t>
        </is>
      </c>
      <c r="H19" s="615" t="inlineStr">
        <is>
          <t>54.5%</t>
        </is>
      </c>
      <c r="I19" s="97" t="inlineStr">
        <is>
          <t>6 Might at ~3 net cost (Scout channels rune on death). Beats Irelia baseline.</t>
        </is>
      </c>
    </row>
    <row r="20" ht="30" customHeight="1">
      <c r="A20" s="100" t="inlineStr">
        <is>
          <t>Tryndamere - Barbarian</t>
        </is>
      </c>
      <c r="B20" s="99" t="inlineStr">
        <is>
          <t>40</t>
        </is>
      </c>
      <c r="C20" s="709" t="n">
        <v>3</v>
      </c>
      <c r="D20" s="676" t="inlineStr">
        <is>
          <t>33.8%</t>
        </is>
      </c>
      <c r="E20" s="676" t="inlineStr">
        <is>
          <t>39.4%</t>
        </is>
      </c>
      <c r="F20" s="615" t="inlineStr">
        <is>
          <t>44.8%</t>
        </is>
      </c>
      <c r="G20" s="615" t="inlineStr">
        <is>
          <t>49.8%</t>
        </is>
      </c>
      <c r="H20" s="615" t="inlineStr">
        <is>
          <t>54.5%</t>
        </is>
      </c>
      <c r="I20" s="101" t="inlineStr">
        <is>
          <t>8 Might beats Irelia through all tricks. 5+ excess damage = bonus scoring point.</t>
        </is>
      </c>
    </row>
    <row r="21" ht="30" customHeight="1">
      <c r="A21" s="772" t="inlineStr">
        <is>
          <t>Sandshifter</t>
        </is>
      </c>
      <c r="B21" s="360" t="inlineStr">
        <is>
          <t>40</t>
        </is>
      </c>
      <c r="C21" s="707" t="n">
        <v>3</v>
      </c>
      <c r="D21" s="676" t="inlineStr">
        <is>
          <t>33.8%</t>
        </is>
      </c>
      <c r="E21" s="676" t="inlineStr">
        <is>
          <t>39.4%</t>
        </is>
      </c>
      <c r="F21" s="615" t="inlineStr">
        <is>
          <t>44.8%</t>
        </is>
      </c>
      <c r="G21" s="615" t="inlineStr">
        <is>
          <t>49.8%</t>
        </is>
      </c>
      <c r="H21" s="615" t="inlineStr">
        <is>
          <t>54.5%</t>
        </is>
      </c>
      <c r="I21" s="97" t="inlineStr">
        <is>
          <t>Kills any unit 3 Might or less on entry. Removes Merchants, Students, small threats.</t>
        </is>
      </c>
    </row>
    <row r="22" ht="30" customHeight="1">
      <c r="A22" s="100" t="inlineStr">
        <is>
          <t>Void Seeker</t>
        </is>
      </c>
      <c r="B22" s="99" t="inlineStr">
        <is>
          <t>40</t>
        </is>
      </c>
      <c r="C22" s="709" t="n">
        <v>3</v>
      </c>
      <c r="D22" s="676" t="inlineStr">
        <is>
          <t>33.8%</t>
        </is>
      </c>
      <c r="E22" s="676" t="inlineStr">
        <is>
          <t>39.4%</t>
        </is>
      </c>
      <c r="F22" s="615" t="inlineStr">
        <is>
          <t>44.8%</t>
        </is>
      </c>
      <c r="G22" s="615" t="inlineStr">
        <is>
          <t>49.8%</t>
        </is>
      </c>
      <c r="H22" s="615" t="inlineStr">
        <is>
          <t>54.5%</t>
        </is>
      </c>
      <c r="I22" s="101" t="inlineStr">
        <is>
          <t>Deal 4 to unit + draw 1. Kills Irelia/Vanquisher at baseline before tricks land.</t>
        </is>
      </c>
    </row>
    <row r="23" ht="30" customHeight="1">
      <c r="A23" s="772" t="inlineStr">
        <is>
          <t>Shakedown</t>
        </is>
      </c>
      <c r="B23" s="360" t="inlineStr">
        <is>
          <t>40</t>
        </is>
      </c>
      <c r="C23" s="707" t="n">
        <v>3</v>
      </c>
      <c r="D23" s="676" t="inlineStr">
        <is>
          <t>33.8%</t>
        </is>
      </c>
      <c r="E23" s="676" t="inlineStr">
        <is>
          <t>39.4%</t>
        </is>
      </c>
      <c r="F23" s="615" t="inlineStr">
        <is>
          <t>44.8%</t>
        </is>
      </c>
      <c r="G23" s="615" t="inlineStr">
        <is>
          <t>49.8%</t>
        </is>
      </c>
      <c r="H23" s="615" t="inlineStr">
        <is>
          <t>54.5%</t>
        </is>
      </c>
      <c r="I23" s="97" t="inlineStr">
        <is>
          <t>Reaction: deal 6 to unit OR opponent draws 2. Either way you control the moment.</t>
        </is>
      </c>
    </row>
    <row r="24" ht="30" customHeight="1">
      <c r="A24" s="100" t="inlineStr">
        <is>
          <t>Blood Money</t>
        </is>
      </c>
      <c r="B24" s="99" t="inlineStr">
        <is>
          <t>40</t>
        </is>
      </c>
      <c r="C24" s="709" t="n">
        <v>3</v>
      </c>
      <c r="D24" s="676" t="inlineStr">
        <is>
          <t>33.8%</t>
        </is>
      </c>
      <c r="E24" s="676" t="inlineStr">
        <is>
          <t>39.4%</t>
        </is>
      </c>
      <c r="F24" s="615" t="inlineStr">
        <is>
          <t>44.8%</t>
        </is>
      </c>
      <c r="G24" s="615" t="inlineStr">
        <is>
          <t>49.8%</t>
        </is>
      </c>
      <c r="H24" s="615" t="inlineStr">
        <is>
          <t>54.5%</t>
        </is>
      </c>
      <c r="I24" s="101" t="inlineStr">
        <is>
          <t>Kill any unit 2 Might or less + Gold if friendly. Removes setup units.</t>
        </is>
      </c>
    </row>
    <row r="25" ht="30" customHeight="1">
      <c r="A25" s="772" t="inlineStr">
        <is>
          <t>Fading Memories</t>
        </is>
      </c>
      <c r="B25" s="360" t="inlineStr">
        <is>
          <t>40</t>
        </is>
      </c>
      <c r="C25" s="707" t="n">
        <v>2</v>
      </c>
      <c r="D25" s="676" t="inlineStr">
        <is>
          <t>23.7%</t>
        </is>
      </c>
      <c r="E25" s="676" t="inlineStr">
        <is>
          <t>28.1%</t>
        </is>
      </c>
      <c r="F25" s="676" t="inlineStr">
        <is>
          <t>32.3%</t>
        </is>
      </c>
      <c r="G25" s="676" t="inlineStr">
        <is>
          <t>36.4%</t>
        </is>
      </c>
      <c r="H25" s="615" t="inlineStr">
        <is>
          <t>40.4%</t>
        </is>
      </c>
      <c r="I25" s="97" t="inlineStr">
        <is>
          <t>Give unit TEMPORARY. Kills Irelia REGARDLESS of Guardian Angel or tricks. Only 2 copies.</t>
        </is>
      </c>
    </row>
    <row r="26" ht="30" customHeight="1">
      <c r="A26" s="100" t="inlineStr">
        <is>
          <t>Corrupt Enforcer</t>
        </is>
      </c>
      <c r="B26" s="99" t="inlineStr">
        <is>
          <t>40</t>
        </is>
      </c>
      <c r="C26" s="709" t="n">
        <v>3</v>
      </c>
      <c r="D26" s="676" t="inlineStr">
        <is>
          <t>33.8%</t>
        </is>
      </c>
      <c r="E26" s="676" t="inlineStr">
        <is>
          <t>39.4%</t>
        </is>
      </c>
      <c r="F26" s="615" t="inlineStr">
        <is>
          <t>44.8%</t>
        </is>
      </c>
      <c r="G26" s="615" t="inlineStr">
        <is>
          <t>49.8%</t>
        </is>
      </c>
      <c r="H26" s="615" t="inlineStr">
        <is>
          <t>54.5%</t>
        </is>
      </c>
      <c r="I26" s="101" t="inlineStr">
        <is>
          <t>Move to bf = opponent discards 1 per move. Continuous hand drain.</t>
        </is>
      </c>
    </row>
    <row r="27" ht="30" customHeight="1">
      <c r="A27" s="772" t="inlineStr">
        <is>
          <t>Soaring Scout</t>
        </is>
      </c>
      <c r="B27" s="360" t="inlineStr">
        <is>
          <t>40</t>
        </is>
      </c>
      <c r="C27" s="707" t="n">
        <v>3</v>
      </c>
      <c r="D27" s="676" t="inlineStr">
        <is>
          <t>33.8%</t>
        </is>
      </c>
      <c r="E27" s="676" t="inlineStr">
        <is>
          <t>39.4%</t>
        </is>
      </c>
      <c r="F27" s="615" t="inlineStr">
        <is>
          <t>44.8%</t>
        </is>
      </c>
      <c r="G27" s="615" t="inlineStr">
        <is>
          <t>49.8%</t>
        </is>
      </c>
      <c r="H27" s="615" t="inlineStr">
        <is>
          <t>54.5%</t>
        </is>
      </c>
      <c r="I27" s="97" t="inlineStr">
        <is>
          <t>Sacrifice fodder. Channels rune on death = Cruel Patron costs 3 net.</t>
        </is>
      </c>
    </row>
    <row r="28" ht="30" customHeight="1">
      <c r="A28" s="100" t="inlineStr">
        <is>
          <t>Invert Timelines</t>
        </is>
      </c>
      <c r="B28" s="99" t="inlineStr">
        <is>
          <t>40</t>
        </is>
      </c>
      <c r="C28" s="709" t="n">
        <v>1</v>
      </c>
      <c r="D28" s="676" t="inlineStr">
        <is>
          <t>12.5%</t>
        </is>
      </c>
      <c r="E28" s="676" t="inlineStr">
        <is>
          <t>15.0%</t>
        </is>
      </c>
      <c r="F28" s="676" t="inlineStr">
        <is>
          <t>17.5%</t>
        </is>
      </c>
      <c r="G28" s="676" t="inlineStr">
        <is>
          <t>20.0%</t>
        </is>
      </c>
      <c r="H28" s="676" t="inlineStr">
        <is>
          <t>22.5%</t>
        </is>
      </c>
      <c r="I28" s="101" t="inlineStr">
        <is>
          <t>Reset both hands to 4. Use vs Ezreal 8+ card hand. Only 1 copy.</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2"/>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8" customWidth="1" min="8" max="8"/>
  </cols>
  <sheetData>
    <row r="1" ht="24" customHeight="1">
      <c r="A1" s="711" t="inlineStr">
        <is>
          <t>VOLIBEAR — RELENTLESS STORM | Fury+Body | Go Big | 40 Cards</t>
        </is>
      </c>
      <c r="B1" s="712" t="inlineStr"/>
      <c r="C1" s="712" t="inlineStr"/>
      <c r="D1" s="712" t="inlineStr"/>
      <c r="E1" s="712" t="inlineStr"/>
      <c r="F1" s="712" t="inlineStr"/>
      <c r="G1" s="712" t="inlineStr"/>
      <c r="H1" s="712" t="inlineStr"/>
    </row>
    <row r="2" ht="55" customHeight="1">
      <c r="A2" s="713" t="inlineStr">
        <is>
          <t>STRATEGY — GO BIG: First 4 turns you play ramp units and channel runes. Turn 5-6 drop Kadregrin (9/9) or Volibear Furious (10/9 DEFLECT). Nobody answers it. It holds a field permanently. Stormbringer surprise combo: Raging Firebrand makes the next spell cost 5 less. Stormbringer costs 6 → costs 1. Target Kadregrin in base. Kadregrin teleports to a field dealing 9 damage to everything there. Opponent never sees it coming. That's your key play.</t>
        </is>
      </c>
      <c r="B2" s="714" t="inlineStr"/>
      <c r="C2" s="714" t="inlineStr"/>
      <c r="D2" s="714" t="inlineStr"/>
      <c r="E2" s="714" t="inlineStr"/>
      <c r="F2" s="714" t="inlineStr"/>
      <c r="G2" s="714" t="inlineStr"/>
      <c r="H2" s="714" t="inlineStr"/>
    </row>
    <row r="3" ht="4" customHeight="1">
      <c r="A3" s="672" t="inlineStr"/>
      <c r="B3" s="672" t="inlineStr"/>
      <c r="C3" s="672" t="inlineStr"/>
      <c r="D3" s="672" t="inlineStr"/>
      <c r="E3" s="672" t="inlineStr"/>
      <c r="F3" s="672" t="inlineStr"/>
      <c r="G3" s="672" t="inlineStr"/>
      <c r="H3" s="672" t="inlineStr"/>
    </row>
    <row r="4" ht="15" customHeight="1">
      <c r="A4" s="715" t="inlineStr">
        <is>
          <t>MATCHUP ANALYSIS — G1 Card-Based Estimates</t>
        </is>
      </c>
      <c r="B4" s="712" t="inlineStr"/>
      <c r="C4" s="712" t="inlineStr"/>
      <c r="D4" s="712" t="inlineStr"/>
      <c r="E4" s="712" t="inlineStr"/>
      <c r="F4" s="712" t="inlineStr"/>
      <c r="G4" s="712" t="inlineStr"/>
      <c r="H4" s="712" t="inlineStr"/>
    </row>
    <row r="5" ht="18" customHeight="1">
      <c r="A5" s="811" t="inlineStr">
        <is>
          <t>Matchup</t>
        </is>
      </c>
      <c r="B5" s="811" t="inlineStr">
        <is>
          <t>Win Rate G1</t>
        </is>
      </c>
      <c r="C5" s="811" t="inlineStr">
        <is>
          <t>Result</t>
        </is>
      </c>
      <c r="D5" s="811" t="inlineStr"/>
      <c r="E5" s="811" t="inlineStr"/>
      <c r="F5" s="811" t="inlineStr"/>
      <c r="G5" s="811" t="inlineStr"/>
      <c r="H5" s="811" t="inlineStr">
        <is>
          <t>Card-Based Analysis</t>
        </is>
      </c>
    </row>
    <row r="6" ht="30" customHeight="1">
      <c r="A6" s="675" t="inlineStr">
        <is>
          <t>vs Draven (meta)</t>
        </is>
      </c>
      <c r="B6" s="676" t="inlineStr">
        <is>
          <t>38%</t>
        </is>
      </c>
      <c r="C6" s="676" t="inlineStr">
        <is>
          <t>✗ SB NEEDED</t>
        </is>
      </c>
      <c r="D6" s="677" t="inlineStr"/>
      <c r="E6" s="677" t="inlineStr"/>
      <c r="F6" s="677" t="inlineStr"/>
      <c r="G6" s="677" t="inlineStr"/>
      <c r="H6" s="111" t="inlineStr">
        <is>
          <t>ASSAULT flood eats weak units. Draven draws every combat win. You must answer his combat pump spells or he runs away on cards.</t>
        </is>
      </c>
    </row>
    <row r="7" ht="30" customHeight="1">
      <c r="A7" s="799" t="inlineStr">
        <is>
          <t>vs Irelia (meta)</t>
        </is>
      </c>
      <c r="B7" s="802" t="inlineStr">
        <is>
          <t>58%</t>
        </is>
      </c>
      <c r="C7" s="802" t="inlineStr">
        <is>
          <t>~ CLOSE</t>
        </is>
      </c>
      <c r="D7" s="702" t="inlineStr"/>
      <c r="E7" s="702" t="inlineStr"/>
      <c r="F7" s="702" t="inlineStr"/>
      <c r="G7" s="702" t="inlineStr"/>
      <c r="H7" s="217" t="inlineStr">
        <is>
          <t>She protects one unit and double-conquers. Your deck floods 2+ units at fields she can only cover one of. She can't be everywhere.</t>
        </is>
      </c>
    </row>
    <row r="8" ht="30" customHeight="1">
      <c r="A8" s="799" t="inlineStr">
        <is>
          <t>vs Ezreal (meta)</t>
        </is>
      </c>
      <c r="B8" s="802" t="inlineStr">
        <is>
          <t>62%</t>
        </is>
      </c>
      <c r="C8" s="802" t="inlineStr">
        <is>
          <t>~ CLOSE</t>
        </is>
      </c>
      <c r="D8" s="702" t="inlineStr"/>
      <c r="E8" s="702" t="inlineStr"/>
      <c r="F8" s="702" t="inlineStr"/>
      <c r="G8" s="702" t="inlineStr"/>
      <c r="H8" s="217" t="inlineStr">
        <is>
          <t>Reactive draw engine. He needs to target your units twice per turn to draw. Play proactively, he can't keep up with your board pressure.</t>
        </is>
      </c>
    </row>
    <row r="9" ht="30" customHeight="1">
      <c r="A9" s="675" t="inlineStr">
        <is>
          <t>vs Draven (ours)</t>
        </is>
      </c>
      <c r="B9" s="676" t="inlineStr">
        <is>
          <t>40%</t>
        </is>
      </c>
      <c r="C9" s="676" t="inlineStr">
        <is>
          <t>✗ SB NEEDED</t>
        </is>
      </c>
      <c r="D9" s="677" t="inlineStr"/>
      <c r="E9" s="677" t="inlineStr"/>
      <c r="F9" s="677" t="inlineStr"/>
      <c r="G9" s="677" t="inlineStr"/>
      <c r="H9" s="111" t="inlineStr">
        <is>
          <t>Draven mirror or Draven vs your deck. ASSAULT units at similar M. Whoever draws Blood Rush or combat pump first wins. Close by design.</t>
        </is>
      </c>
    </row>
    <row r="10" ht="30" customHeight="1">
      <c r="A10" s="799" t="inlineStr">
        <is>
          <t>vs Azir (ours)</t>
        </is>
      </c>
      <c r="B10" s="802" t="inlineStr">
        <is>
          <t>58%</t>
        </is>
      </c>
      <c r="C10" s="802" t="inlineStr">
        <is>
          <t>~ CLOSE</t>
        </is>
      </c>
      <c r="D10" s="702" t="inlineStr"/>
      <c r="E10" s="702" t="inlineStr"/>
      <c r="F10" s="702" t="inlineStr"/>
      <c r="G10" s="702" t="inlineStr"/>
      <c r="H10" s="217" t="inlineStr">
        <is>
          <t>Token flood hits both fields with 2M soldiers. ASSAULT units beat tokens. Token decks struggle vs single high-M units. Dependent on matchup speed.</t>
        </is>
      </c>
    </row>
    <row r="11" ht="30" customHeight="1">
      <c r="A11" s="675" t="inlineStr">
        <is>
          <t>vs Miss Fortune (ours)</t>
        </is>
      </c>
      <c r="B11" s="676" t="inlineStr">
        <is>
          <t>52%</t>
        </is>
      </c>
      <c r="C11" s="676" t="inlineStr">
        <is>
          <t>✗ SB NEEDED</t>
        </is>
      </c>
      <c r="D11" s="677" t="inlineStr"/>
      <c r="E11" s="677" t="inlineStr"/>
      <c r="F11" s="677" t="inlineStr"/>
      <c r="G11" s="677" t="inlineStr"/>
      <c r="H11" s="111" t="inlineStr">
        <is>
          <t>Trinity Force passive scoring competes with your win condition. Mobile units hit both fields. Whoever scores faster wins. Always close.</t>
        </is>
      </c>
    </row>
    <row r="12" ht="18" customHeight="1">
      <c r="A12" s="715" t="inlineStr">
        <is>
          <t>META AVG G1</t>
        </is>
      </c>
      <c r="B12" s="815" t="inlineStr">
        <is>
          <t>53%</t>
        </is>
      </c>
      <c r="C12" s="815" t="inlineStr">
        <is>
          <t>NEEDS SB</t>
        </is>
      </c>
      <c r="D12" s="712" t="inlineStr"/>
      <c r="E12" s="712" t="inlineStr"/>
      <c r="F12" s="712" t="inlineStr"/>
      <c r="G12" s="712" t="inlineStr"/>
      <c r="H12" s="717" t="inlineStr">
        <is>
          <t>G2 SB: Unyielding Spirit counters removal. Challenge forces bad trades on opponent.</t>
        </is>
      </c>
    </row>
    <row r="13" ht="4" customHeight="1">
      <c r="A13" s="672" t="inlineStr"/>
      <c r="B13" s="672" t="inlineStr"/>
      <c r="C13" s="672" t="inlineStr"/>
      <c r="D13" s="672" t="inlineStr"/>
      <c r="E13" s="672" t="inlineStr"/>
      <c r="F13" s="672" t="inlineStr"/>
      <c r="G13" s="672" t="inlineStr"/>
      <c r="H13" s="672" t="inlineStr"/>
    </row>
    <row r="14" ht="15" customHeight="1">
      <c r="A14" s="715" t="inlineStr">
        <is>
          <t>HOW TO PLAY — A B C D E F G</t>
        </is>
      </c>
      <c r="B14" s="712" t="inlineStr"/>
      <c r="C14" s="712" t="inlineStr"/>
      <c r="D14" s="712" t="inlineStr"/>
      <c r="E14" s="712" t="inlineStr"/>
      <c r="F14" s="712" t="inlineStr"/>
      <c r="G14" s="712" t="inlineStr"/>
      <c r="H14" s="712" t="inlineStr"/>
    </row>
    <row r="15" ht="32" customHeight="1">
      <c r="A15" s="683" t="inlineStr">
        <is>
          <t>A</t>
        </is>
      </c>
      <c r="B15" s="684" t="inlineStr">
        <is>
          <t>AWAKEN</t>
        </is>
      </c>
      <c r="C15" s="685" t="inlineStr">
        <is>
          <t>Everything readies. Check: do you have Raging Firebrand + Stormbringer in hand? That's the kill combo.</t>
        </is>
      </c>
      <c r="D15" s="820" t="inlineStr"/>
      <c r="E15" s="820" t="inlineStr"/>
      <c r="F15" s="820" t="inlineStr"/>
      <c r="G15" s="820" t="inlineStr"/>
      <c r="H15" s="820" t="inlineStr"/>
    </row>
    <row r="16" ht="32" customHeight="1">
      <c r="A16" s="687" t="inlineStr">
        <is>
          <t>B</t>
        </is>
      </c>
      <c r="B16" s="688" t="inlineStr">
        <is>
          <t>BEGINNING</t>
        </is>
      </c>
      <c r="C16" s="685" t="inlineStr">
        <is>
          <t>Score points held. Count how far opponent is. You need to survive to turn 6.</t>
        </is>
      </c>
      <c r="D16" s="820" t="inlineStr"/>
      <c r="E16" s="820" t="inlineStr"/>
      <c r="F16" s="820" t="inlineStr"/>
      <c r="G16" s="820" t="inlineStr"/>
      <c r="H16" s="820" t="inlineStr"/>
    </row>
    <row r="17" ht="32" customHeight="1">
      <c r="A17" s="689" t="inlineStr">
        <is>
          <t>C</t>
        </is>
      </c>
      <c r="B17" s="690" t="inlineStr">
        <is>
          <t>CHANNEL</t>
        </is>
      </c>
      <c r="C17" s="685" t="inlineStr">
        <is>
          <t>Draw Fury (red) and Body (orange) runes. Priority: ramp spells first, big units later.</t>
        </is>
      </c>
      <c r="D17" s="820" t="inlineStr"/>
      <c r="E17" s="820" t="inlineStr"/>
      <c r="F17" s="820" t="inlineStr"/>
      <c r="G17" s="820" t="inlineStr"/>
      <c r="H17" s="820" t="inlineStr"/>
    </row>
    <row r="18" ht="32" customHeight="1">
      <c r="A18" s="691" t="inlineStr">
        <is>
          <t>D</t>
        </is>
      </c>
      <c r="B18" s="692" t="inlineStr">
        <is>
          <t>DRAW</t>
        </is>
      </c>
      <c r="C18" s="685" t="inlineStr">
        <is>
          <t>Draw 1 card. Volibear legend: when a MIGHTY unit (5M+) enters play, exhaust to channel a rune.</t>
        </is>
      </c>
      <c r="D18" s="820" t="inlineStr"/>
      <c r="E18" s="820" t="inlineStr"/>
      <c r="F18" s="820" t="inlineStr"/>
      <c r="G18" s="820" t="inlineStr"/>
      <c r="H18" s="820" t="inlineStr"/>
    </row>
    <row r="19" ht="32" customHeight="1">
      <c r="A19" s="693" t="inlineStr">
        <is>
          <t>E</t>
        </is>
      </c>
      <c r="B19" s="694" t="inlineStr">
        <is>
          <t>EXHAUST</t>
        </is>
      </c>
      <c r="C19" s="685" t="inlineStr">
        <is>
          <t>If you have Raging Firebrand in hand: play it this turn. Next spell costs 5 less. Set up Stormbringer for next turn.</t>
        </is>
      </c>
      <c r="D19" s="820" t="inlineStr"/>
      <c r="E19" s="820" t="inlineStr"/>
      <c r="F19" s="820" t="inlineStr"/>
      <c r="G19" s="820" t="inlineStr"/>
      <c r="H19" s="820" t="inlineStr"/>
    </row>
    <row r="20" ht="32" customHeight="1">
      <c r="A20" s="695" t="inlineStr">
        <is>
          <t>F</t>
        </is>
      </c>
      <c r="B20" s="784" t="inlineStr">
        <is>
          <t>FIELD</t>
        </is>
      </c>
      <c r="C20" s="685" t="inlineStr">
        <is>
          <t>Turns 1-4: play ramp units (Void Seeker, body units). Turns 5+: play Kadregrin or Volibear Furious. They hold everything.</t>
        </is>
      </c>
      <c r="D20" s="820" t="inlineStr"/>
      <c r="E20" s="820" t="inlineStr"/>
      <c r="F20" s="820" t="inlineStr"/>
      <c r="G20" s="820" t="inlineStr"/>
      <c r="H20" s="820" t="inlineStr"/>
    </row>
    <row r="21" ht="32" customHeight="1">
      <c r="A21" s="697" t="inlineStr">
        <is>
          <t>G</t>
        </is>
      </c>
      <c r="B21" s="698" t="inlineStr">
        <is>
          <t>GO</t>
        </is>
      </c>
      <c r="C21" s="685" t="inlineStr">
        <is>
          <t>Raging Firebrand turn 5 → Stormbringer costs 1 → target Kadregrin in base → Kadregrin moves to field dealing 9 damage. Everything dies. You hold.</t>
        </is>
      </c>
      <c r="D21" s="820" t="inlineStr"/>
      <c r="E21" s="820" t="inlineStr"/>
      <c r="F21" s="820" t="inlineStr"/>
      <c r="G21" s="820" t="inlineStr"/>
      <c r="H21" s="820" t="inlineStr"/>
    </row>
    <row r="22" ht="4" customHeight="1">
      <c r="A22" s="672" t="inlineStr"/>
      <c r="B22" s="672" t="inlineStr"/>
      <c r="C22" s="672" t="inlineStr"/>
      <c r="D22" s="672" t="inlineStr"/>
      <c r="E22" s="672" t="inlineStr"/>
      <c r="F22" s="672" t="inlineStr"/>
      <c r="G22" s="672" t="inlineStr"/>
      <c r="H22" s="672" t="inlineStr"/>
    </row>
    <row r="23" ht="15" customHeight="1">
      <c r="A23" s="715" t="inlineStr">
        <is>
          <t>LEGEND + CHAMPION ZONE</t>
        </is>
      </c>
      <c r="B23" s="712" t="inlineStr"/>
      <c r="C23" s="712" t="inlineStr"/>
      <c r="D23" s="712" t="inlineStr"/>
      <c r="E23" s="712" t="inlineStr"/>
      <c r="F23" s="712" t="inlineStr"/>
      <c r="G23" s="712" t="inlineStr"/>
      <c r="H23" s="712" t="inlineStr"/>
    </row>
    <row r="24" ht="18" customHeight="1">
      <c r="A24" s="811" t="inlineStr">
        <is>
          <t>Card ID</t>
        </is>
      </c>
      <c r="B24" s="811" t="inlineStr">
        <is>
          <t>Qty</t>
        </is>
      </c>
      <c r="C24" s="811" t="inlineStr">
        <is>
          <t>Zone</t>
        </is>
      </c>
      <c r="D24" s="811" t="inlineStr">
        <is>
          <t>Name</t>
        </is>
      </c>
      <c r="E24" s="811" t="inlineStr">
        <is>
          <t>Domain</t>
        </is>
      </c>
      <c r="F24" s="811" t="inlineStr">
        <is>
          <t>Cost</t>
        </is>
      </c>
      <c r="G24" s="811" t="inlineStr">
        <is>
          <t>Might</t>
        </is>
      </c>
      <c r="H24" s="811" t="inlineStr">
        <is>
          <t>Notes</t>
        </is>
      </c>
    </row>
    <row r="25" ht="32" customHeight="1">
      <c r="A25" s="718" t="inlineStr">
        <is>
          <t>OGN-249</t>
        </is>
      </c>
      <c r="B25" s="718" t="inlineStr">
        <is>
          <t>x1</t>
        </is>
      </c>
      <c r="C25" s="719" t="inlineStr">
        <is>
          <t>Legend Zone</t>
        </is>
      </c>
      <c r="D25" s="719" t="inlineStr">
        <is>
          <t>Volibear - Relentless Storm</t>
        </is>
      </c>
      <c r="E25" s="720" t="inlineStr">
        <is>
          <t>Fury;Body</t>
        </is>
      </c>
      <c r="F25" s="721" t="inlineStr">
        <is>
          <t>0</t>
        </is>
      </c>
      <c r="G25" s="721" t="inlineStr">
        <is>
          <t>0</t>
        </is>
      </c>
      <c r="H25" s="222" t="inlineStr">
        <is>
          <t>Volibear - Relentless Storm. When a MIGHTY unit (5M+) enters, exhaust to channel a rune. Ramp + play big units = free rune generation.</t>
        </is>
      </c>
    </row>
    <row r="26" ht="32" customHeight="1">
      <c r="A26" s="718" t="inlineStr">
        <is>
          <t>OGN-041</t>
        </is>
      </c>
      <c r="B26" s="718" t="inlineStr">
        <is>
          <t>x1</t>
        </is>
      </c>
      <c r="C26" s="719" t="inlineStr">
        <is>
          <t>Champion Zone</t>
        </is>
      </c>
      <c r="D26" s="719" t="inlineStr">
        <is>
          <t>Volibear - Furious</t>
        </is>
      </c>
      <c r="E26" s="720" t="inlineStr">
        <is>
          <t>Fury</t>
        </is>
      </c>
      <c r="F26" s="721" t="inlineStr">
        <is>
          <t>10</t>
        </is>
      </c>
      <c r="G26" s="721" t="inlineStr">
        <is>
          <t>9</t>
        </is>
      </c>
      <c r="H26" s="222" t="inlineStr">
        <is>
          <t>Volibear - Furious. 10/9. DEFLECT 2 (costs 2 runes to target). When attacks: deal 5 damage split among enemy units. Impossible to kill cheaply.</t>
        </is>
      </c>
    </row>
    <row r="27" ht="4" customHeight="1">
      <c r="A27" s="672" t="inlineStr"/>
      <c r="B27" s="672" t="inlineStr"/>
      <c r="C27" s="672" t="inlineStr"/>
      <c r="D27" s="672" t="inlineStr"/>
      <c r="E27" s="672" t="inlineStr"/>
      <c r="F27" s="672" t="inlineStr"/>
      <c r="G27" s="672" t="inlineStr"/>
      <c r="H27" s="672" t="inlineStr"/>
    </row>
    <row r="28" ht="15" customHeight="1">
      <c r="A28" s="715" t="inlineStr">
        <is>
          <t>MAIN DECK — 40 Cards</t>
        </is>
      </c>
      <c r="B28" s="712" t="inlineStr"/>
      <c r="C28" s="712" t="inlineStr"/>
      <c r="D28" s="712" t="inlineStr"/>
      <c r="E28" s="712" t="inlineStr"/>
      <c r="F28" s="712" t="inlineStr"/>
      <c r="G28" s="712" t="inlineStr"/>
      <c r="H28" s="712" t="inlineStr"/>
    </row>
    <row r="29" ht="18" customHeight="1">
      <c r="A29" s="811" t="inlineStr">
        <is>
          <t>Card ID</t>
        </is>
      </c>
      <c r="B29" s="811" t="inlineStr">
        <is>
          <t>Qty</t>
        </is>
      </c>
      <c r="C29" s="811" t="inlineStr">
        <is>
          <t>Role</t>
        </is>
      </c>
      <c r="D29" s="811" t="inlineStr">
        <is>
          <t>Name</t>
        </is>
      </c>
      <c r="E29" s="811" t="inlineStr">
        <is>
          <t>Domain</t>
        </is>
      </c>
      <c r="F29" s="811" t="inlineStr">
        <is>
          <t>Cost</t>
        </is>
      </c>
      <c r="G29" s="811" t="inlineStr">
        <is>
          <t>Might</t>
        </is>
      </c>
      <c r="H29" s="811" t="inlineStr">
        <is>
          <t>Card Function</t>
        </is>
      </c>
    </row>
    <row r="30" ht="26" customHeight="1">
      <c r="A30" s="718" t="inlineStr">
        <is>
          <t>OGN-001</t>
        </is>
      </c>
      <c r="B30" s="718" t="n">
        <v>3</v>
      </c>
      <c r="C30" s="720" t="inlineStr">
        <is>
          <t>Ramp</t>
        </is>
      </c>
      <c r="D30" s="719" t="inlineStr">
        <is>
          <t>Blazing Scorcher</t>
        </is>
      </c>
      <c r="E30" s="721" t="inlineStr">
        <is>
          <t>Fury</t>
        </is>
      </c>
      <c r="F30" s="721" t="inlineStr">
        <is>
          <t>5</t>
        </is>
      </c>
      <c r="G30" s="721" t="inlineStr">
        <is>
          <t>5</t>
        </is>
      </c>
      <c r="H30" s="222" t="inlineStr">
        <is>
          <t>Mobilize. Body spell. Move a unit and ready it. Repositioning flexibility.</t>
        </is>
      </c>
    </row>
    <row r="31" ht="26" customHeight="1">
      <c r="A31" s="718" t="inlineStr">
        <is>
          <t>OGN-024</t>
        </is>
      </c>
      <c r="B31" s="718" t="n">
        <v>2</v>
      </c>
      <c r="C31" s="720" t="inlineStr">
        <is>
          <t>Removal</t>
        </is>
      </c>
      <c r="D31" s="719" t="inlineStr">
        <is>
          <t>Void Seeker</t>
        </is>
      </c>
      <c r="E31" s="721" t="inlineStr">
        <is>
          <t>Fury</t>
        </is>
      </c>
      <c r="F31" s="721" t="inlineStr">
        <is>
          <t>3</t>
        </is>
      </c>
      <c r="G31" s="721" t="inlineStr">
        <is>
          <t>0</t>
        </is>
      </c>
      <c r="H31" s="222" t="inlineStr">
        <is>
          <t>Void Seeker. Deal 4 to a unit. Draw 1 if fewer cards than opponent. Removal + card draw.</t>
        </is>
      </c>
    </row>
    <row r="32" ht="26" customHeight="1">
      <c r="A32" s="718" t="inlineStr">
        <is>
          <t>OGN-031</t>
        </is>
      </c>
      <c r="B32" s="718" t="n">
        <v>3</v>
      </c>
      <c r="C32" s="720" t="inlineStr">
        <is>
          <t>Ramp</t>
        </is>
      </c>
      <c r="D32" s="719" t="inlineStr">
        <is>
          <t>Raging Firebrand</t>
        </is>
      </c>
      <c r="E32" s="721" t="inlineStr">
        <is>
          <t>Fury</t>
        </is>
      </c>
      <c r="F32" s="721" t="inlineStr">
        <is>
          <t>6</t>
        </is>
      </c>
      <c r="G32" s="721" t="inlineStr">
        <is>
          <t>4</t>
        </is>
      </c>
      <c r="H32" s="222" t="inlineStr">
        <is>
          <t>Dune Drake. 3/3 Body unit. Early blocker that contests fields.</t>
        </is>
      </c>
    </row>
    <row r="33" ht="26" customHeight="1">
      <c r="A33" s="718" t="inlineStr">
        <is>
          <t>OGN-033</t>
        </is>
      </c>
      <c r="B33" s="718" t="n">
        <v>3</v>
      </c>
      <c r="C33" s="720" t="inlineStr">
        <is>
          <t>Ramp</t>
        </is>
      </c>
      <c r="D33" s="719" t="inlineStr">
        <is>
          <t>Shakedown</t>
        </is>
      </c>
      <c r="E33" s="721" t="inlineStr">
        <is>
          <t>Fury</t>
        </is>
      </c>
      <c r="F33" s="721" t="inlineStr">
        <is>
          <t>2</t>
        </is>
      </c>
      <c r="G33" s="721" t="inlineStr">
        <is>
          <t>0</t>
        </is>
      </c>
      <c r="H33" s="222" t="inlineStr">
        <is>
          <t>Catalyst. 3/3 Body unit. Synergizes with big unit ramp plan.</t>
        </is>
      </c>
    </row>
    <row r="34" ht="26" customHeight="1">
      <c r="A34" s="718" t="inlineStr">
        <is>
          <t>OGN-038</t>
        </is>
      </c>
      <c r="B34" s="718" t="n">
        <v>3</v>
      </c>
      <c r="C34" s="720" t="inlineStr">
        <is>
          <t>Big</t>
        </is>
      </c>
      <c r="D34" s="719" t="inlineStr">
        <is>
          <t>Kadregrin the Infernal</t>
        </is>
      </c>
      <c r="E34" s="721" t="inlineStr">
        <is>
          <t>Fury</t>
        </is>
      </c>
      <c r="F34" s="721" t="inlineStr">
        <is>
          <t>9</t>
        </is>
      </c>
      <c r="G34" s="721" t="inlineStr">
        <is>
          <t>9</t>
        </is>
      </c>
      <c r="H34" s="222" t="inlineStr">
        <is>
          <t>Kadregrin the Infernal. 9/9. When played: draw 1 per MIGHTY unit. Draws 2-3 cards on entry.</t>
        </is>
      </c>
    </row>
    <row r="35" ht="26" customHeight="1">
      <c r="A35" s="718" t="inlineStr">
        <is>
          <t>OGN-041</t>
        </is>
      </c>
      <c r="B35" s="718" t="n">
        <v>2</v>
      </c>
      <c r="C35" s="720" t="inlineStr">
        <is>
          <t>Champion</t>
        </is>
      </c>
      <c r="D35" s="719" t="inlineStr">
        <is>
          <t>Volibear - Furious</t>
        </is>
      </c>
      <c r="E35" s="721" t="inlineStr">
        <is>
          <t>Fury</t>
        </is>
      </c>
      <c r="F35" s="721" t="inlineStr">
        <is>
          <t>10</t>
        </is>
      </c>
      <c r="G35" s="721" t="inlineStr">
        <is>
          <t>9</t>
        </is>
      </c>
      <c r="H35" s="222" t="inlineStr">
        <is>
          <t>Volibear Furious. 10/9. DEFLECT 2. Attacks deal 5 split damage. Nobody can answer this legally for under 2 runes.</t>
        </is>
      </c>
    </row>
    <row r="36" ht="26" customHeight="1">
      <c r="A36" s="722" t="inlineStr">
        <is>
          <t>OGN-129</t>
        </is>
      </c>
      <c r="B36" s="722" t="n">
        <v>3</v>
      </c>
      <c r="C36" s="723" t="inlineStr">
        <is>
          <t>Ramp</t>
        </is>
      </c>
      <c r="D36" s="724" t="inlineStr">
        <is>
          <t>Confront</t>
        </is>
      </c>
      <c r="E36" s="725" t="inlineStr">
        <is>
          <t>Body</t>
        </is>
      </c>
      <c r="F36" s="725" t="inlineStr">
        <is>
          <t>2</t>
        </is>
      </c>
      <c r="G36" s="725" t="inlineStr">
        <is>
          <t>0</t>
        </is>
      </c>
      <c r="H36" s="173" t="inlineStr">
        <is>
          <t>Body Rune. Generates body-domain resources. Fuel for big units.</t>
        </is>
      </c>
    </row>
    <row r="37" ht="26" customHeight="1">
      <c r="A37" s="722" t="inlineStr">
        <is>
          <t>OGN-131</t>
        </is>
      </c>
      <c r="B37" s="722" t="n">
        <v>3</v>
      </c>
      <c r="C37" s="723" t="inlineStr">
        <is>
          <t>Ramp</t>
        </is>
      </c>
      <c r="D37" s="724" t="inlineStr">
        <is>
          <t>Dune Drake</t>
        </is>
      </c>
      <c r="E37" s="725" t="inlineStr">
        <is>
          <t>Body</t>
        </is>
      </c>
      <c r="F37" s="725" t="inlineStr">
        <is>
          <t>5</t>
        </is>
      </c>
      <c r="G37" s="725" t="inlineStr">
        <is>
          <t>5</t>
        </is>
      </c>
      <c r="H37" s="173" t="inlineStr">
        <is>
          <t>Herald. 3/3 Body unit. Early board presence.</t>
        </is>
      </c>
    </row>
    <row r="38" ht="26" customHeight="1">
      <c r="A38" s="722" t="inlineStr">
        <is>
          <t>OGN-134</t>
        </is>
      </c>
      <c r="B38" s="722" t="n">
        <v>3</v>
      </c>
      <c r="C38" s="723" t="inlineStr">
        <is>
          <t>Ramp</t>
        </is>
      </c>
      <c r="D38" s="724" t="inlineStr">
        <is>
          <t>Mobilize</t>
        </is>
      </c>
      <c r="E38" s="725" t="inlineStr">
        <is>
          <t>Body</t>
        </is>
      </c>
      <c r="F38" s="725" t="inlineStr">
        <is>
          <t>2</t>
        </is>
      </c>
      <c r="G38" s="725" t="inlineStr">
        <is>
          <t>0</t>
        </is>
      </c>
      <c r="H38" s="173" t="inlineStr">
        <is>
          <t>Stormclaw Ursine. 3/3. Body unit. Blocks early attacks while you ramp.</t>
        </is>
      </c>
    </row>
    <row r="39" ht="26" customHeight="1">
      <c r="A39" s="722" t="inlineStr">
        <is>
          <t>OGN-138</t>
        </is>
      </c>
      <c r="B39" s="722" t="n">
        <v>3</v>
      </c>
      <c r="C39" s="723" t="inlineStr">
        <is>
          <t>Ramp</t>
        </is>
      </c>
      <c r="D39" s="724" t="inlineStr">
        <is>
          <t>Catalyst of Aeons</t>
        </is>
      </c>
      <c r="E39" s="725" t="inlineStr">
        <is>
          <t>Body</t>
        </is>
      </c>
      <c r="F39" s="725" t="inlineStr">
        <is>
          <t>4</t>
        </is>
      </c>
      <c r="G39" s="725" t="inlineStr">
        <is>
          <t>0</t>
        </is>
      </c>
      <c r="H39" s="173" t="inlineStr">
        <is>
          <t>Mountain Drake. 9/10. The second 9M+ body. After Kadregrin this seals fields.</t>
        </is>
      </c>
    </row>
    <row r="40" ht="26" customHeight="1">
      <c r="A40" s="722" t="inlineStr">
        <is>
          <t>OGN-140</t>
        </is>
      </c>
      <c r="B40" s="722" t="n">
        <v>3</v>
      </c>
      <c r="C40" s="723" t="inlineStr">
        <is>
          <t>Ramp</t>
        </is>
      </c>
      <c r="D40" s="724" t="inlineStr">
        <is>
          <t>Herald of Scales</t>
        </is>
      </c>
      <c r="E40" s="725" t="inlineStr">
        <is>
          <t>Body</t>
        </is>
      </c>
      <c r="F40" s="725" t="inlineStr">
        <is>
          <t>4</t>
        </is>
      </c>
      <c r="G40" s="725" t="inlineStr">
        <is>
          <t>3</t>
        </is>
      </c>
      <c r="H40" s="173" t="inlineStr">
        <is>
          <t>Unyielding Spirit. Reaction. Prevent damage to a unit. Protects your dragon.</t>
        </is>
      </c>
    </row>
    <row r="41" ht="26" customHeight="1">
      <c r="A41" s="718" t="inlineStr">
        <is>
          <t>OGN-250</t>
        </is>
      </c>
      <c r="B41" s="718" t="n">
        <v>3</v>
      </c>
      <c r="C41" s="720" t="inlineStr">
        <is>
          <t>Combo</t>
        </is>
      </c>
      <c r="D41" s="719" t="inlineStr">
        <is>
          <t>Stormbringer</t>
        </is>
      </c>
      <c r="E41" s="721" t="inlineStr">
        <is>
          <t>Fury;Body</t>
        </is>
      </c>
      <c r="F41" s="721" t="inlineStr">
        <is>
          <t>6</t>
        </is>
      </c>
      <c r="G41" s="721" t="inlineStr">
        <is>
          <t>0</t>
        </is>
      </c>
      <c r="H41" s="222" t="inlineStr">
        <is>
          <t>Stormbringer signature. Target Kadregrin in base = teleport + 9 field damage. THE combo.</t>
        </is>
      </c>
    </row>
    <row r="42" ht="26" customHeight="1">
      <c r="A42" s="718" t="inlineStr">
        <is>
          <t>SFD-021</t>
        </is>
      </c>
      <c r="B42" s="718" t="n">
        <v>3</v>
      </c>
      <c r="C42" s="720" t="inlineStr">
        <is>
          <t>Ramp</t>
        </is>
      </c>
      <c r="D42" s="719" t="inlineStr">
        <is>
          <t>Ferrous Forerunner</t>
        </is>
      </c>
      <c r="E42" s="721" t="inlineStr">
        <is>
          <t>Fury</t>
        </is>
      </c>
      <c r="F42" s="721" t="inlineStr">
        <is>
          <t>6</t>
        </is>
      </c>
      <c r="G42" s="721" t="inlineStr">
        <is>
          <t>6</t>
        </is>
      </c>
      <c r="H42" s="222" t="inlineStr">
        <is>
          <t>Confront. Body spell. Forces a combat. Use to remove opponent's key unit with your dragon.</t>
        </is>
      </c>
    </row>
    <row r="43" ht="26" customHeight="1">
      <c r="A43" s="722" t="inlineStr">
        <is>
          <t>SFD-094</t>
        </is>
      </c>
      <c r="B43" s="722" t="n">
        <v>3</v>
      </c>
      <c r="C43" s="723" t="inlineStr">
        <is>
          <t>Ramp</t>
        </is>
      </c>
      <c r="D43" s="724" t="inlineStr">
        <is>
          <t>Direwing</t>
        </is>
      </c>
      <c r="E43" s="725" t="inlineStr">
        <is>
          <t>Body</t>
        </is>
      </c>
      <c r="F43" s="725" t="inlineStr">
        <is>
          <t>7</t>
        </is>
      </c>
      <c r="G43" s="725" t="inlineStr">
        <is>
          <t>7</t>
        </is>
      </c>
      <c r="H43" s="173" t="inlineStr">
        <is>
          <t>Stormbringer. EPIC. Spend rune to move Kadregrin from base to a field, dealing 9 to everything there.</t>
        </is>
      </c>
    </row>
    <row r="44" ht="16" customHeight="1">
      <c r="A44" s="815" t="inlineStr">
        <is>
          <t>TOTAL</t>
        </is>
      </c>
      <c r="B44" s="815" t="n">
        <v>40</v>
      </c>
      <c r="C44" s="712" t="inlineStr"/>
      <c r="D44" s="712" t="inlineStr"/>
      <c r="E44" s="712" t="inlineStr"/>
      <c r="F44" s="712" t="inlineStr"/>
      <c r="G44" s="712" t="inlineStr"/>
      <c r="H44" s="712" t="inlineStr"/>
    </row>
    <row r="45" ht="4" customHeight="1">
      <c r="A45" s="672" t="inlineStr"/>
      <c r="B45" s="672" t="inlineStr"/>
      <c r="C45" s="672" t="inlineStr"/>
      <c r="D45" s="672" t="inlineStr"/>
      <c r="E45" s="672" t="inlineStr"/>
      <c r="F45" s="672" t="inlineStr"/>
      <c r="G45" s="672" t="inlineStr"/>
      <c r="H45" s="672" t="inlineStr"/>
    </row>
    <row r="46" ht="16" customHeight="1">
      <c r="A46" s="726" t="inlineStr">
        <is>
          <t>RUNE DECK (12)</t>
        </is>
      </c>
      <c r="B46" s="80" t="inlineStr">
        <is>
          <t>6x Fury (Red) + 6x Body (Orange) — Completely clean. No overlap with Azir/MF/Draven.</t>
        </is>
      </c>
      <c r="C46" s="727" t="inlineStr"/>
      <c r="D46" s="727" t="inlineStr"/>
      <c r="E46" s="727" t="inlineStr"/>
      <c r="F46" s="727" t="inlineStr"/>
      <c r="G46" s="727" t="inlineStr"/>
      <c r="H46" s="727" t="inlineStr"/>
    </row>
    <row r="47" ht="4" customHeight="1">
      <c r="A47" s="672" t="inlineStr"/>
      <c r="B47" s="672" t="inlineStr"/>
      <c r="C47" s="672" t="inlineStr"/>
      <c r="D47" s="672" t="inlineStr"/>
      <c r="E47" s="672" t="inlineStr"/>
      <c r="F47" s="672" t="inlineStr"/>
      <c r="G47" s="672" t="inlineStr"/>
      <c r="H47" s="672" t="inlineStr"/>
    </row>
    <row r="48" ht="15" customHeight="1">
      <c r="A48" s="715" t="inlineStr">
        <is>
          <t>SIDEBOARD — 8 Cards | G2 Designed to Flip Weak Matchups</t>
        </is>
      </c>
      <c r="B48" s="712" t="inlineStr"/>
      <c r="C48" s="712" t="inlineStr"/>
      <c r="D48" s="712" t="inlineStr"/>
      <c r="E48" s="712" t="inlineStr"/>
      <c r="F48" s="712" t="inlineStr"/>
      <c r="G48" s="712" t="inlineStr"/>
      <c r="H48" s="712" t="inlineStr"/>
    </row>
    <row r="49" ht="18" customHeight="1">
      <c r="A49" s="811" t="inlineStr">
        <is>
          <t>Card ID</t>
        </is>
      </c>
      <c r="B49" s="811" t="inlineStr">
        <is>
          <t>Qty</t>
        </is>
      </c>
      <c r="C49" s="811" t="inlineStr">
        <is>
          <t>Matchup</t>
        </is>
      </c>
      <c r="D49" s="811" t="inlineStr">
        <is>
          <t>Name</t>
        </is>
      </c>
      <c r="E49" s="811" t="inlineStr">
        <is>
          <t>Domain</t>
        </is>
      </c>
      <c r="F49" s="811" t="inlineStr">
        <is>
          <t>Cost</t>
        </is>
      </c>
      <c r="G49" s="811" t="inlineStr">
        <is>
          <t>Might</t>
        </is>
      </c>
      <c r="H49" s="811" t="inlineStr">
        <is>
          <t>G2 Plan + Swap</t>
        </is>
      </c>
    </row>
    <row r="50" ht="50" customHeight="1">
      <c r="A50" s="722" t="inlineStr">
        <is>
          <t>OGN-145</t>
        </is>
      </c>
      <c r="B50" s="722" t="n">
        <v>3</v>
      </c>
      <c r="C50" s="724" t="inlineStr">
        <is>
          <t>vs Removal Heavy</t>
        </is>
      </c>
      <c r="D50" s="724" t="inlineStr">
        <is>
          <t>Unyielding Spirit</t>
        </is>
      </c>
      <c r="E50" s="725" t="inlineStr">
        <is>
          <t>Body</t>
        </is>
      </c>
      <c r="F50" s="725" t="inlineStr">
        <is>
          <t>1</t>
        </is>
      </c>
      <c r="G50" s="725" t="inlineStr">
        <is>
          <t>0</t>
        </is>
      </c>
      <c r="H50" s="173" t="inlineStr">
        <is>
          <t>Unyielding Spirit x3. Reaction: prevent all damage to a unit this turn. When opponent tries to kill Kadregrin, react. Dragon lives. || SWAP: OUT: OGN-031 x2, OGN-033 x1 | IN: Unyielding Spirit x3</t>
        </is>
      </c>
    </row>
    <row r="51" ht="50" customHeight="1">
      <c r="A51" s="718" t="inlineStr">
        <is>
          <t>OGN-022</t>
        </is>
      </c>
      <c r="B51" s="718" t="n">
        <v>3</v>
      </c>
      <c r="C51" s="719" t="inlineStr">
        <is>
          <t>vs Fast Aggro</t>
        </is>
      </c>
      <c r="D51" s="719" t="inlineStr">
        <is>
          <t>Thermo Beam</t>
        </is>
      </c>
      <c r="E51" s="721" t="inlineStr">
        <is>
          <t>Fury</t>
        </is>
      </c>
      <c r="F51" s="721" t="inlineStr">
        <is>
          <t>5</t>
        </is>
      </c>
      <c r="G51" s="721" t="inlineStr">
        <is>
          <t>0</t>
        </is>
      </c>
      <c r="H51" s="222" t="inlineStr">
        <is>
          <t>Thermo Beam. Kill ALL gear. Against equipment-based decks (Azir, Draven) this wipes their entire engine. || SWAP: OUT: OGN-001 x2, SFD-021 x1 | IN: Thermo Beam x3</t>
        </is>
      </c>
    </row>
    <row r="52" ht="50" customHeight="1">
      <c r="A52" s="722" t="inlineStr">
        <is>
          <t>OGN-128</t>
        </is>
      </c>
      <c r="B52" s="722" t="n">
        <v>2</v>
      </c>
      <c r="C52" s="724" t="inlineStr">
        <is>
          <t>vs MF/Azir</t>
        </is>
      </c>
      <c r="D52" s="724" t="inlineStr">
        <is>
          <t>Challenge</t>
        </is>
      </c>
      <c r="E52" s="725" t="inlineStr">
        <is>
          <t>Body</t>
        </is>
      </c>
      <c r="F52" s="725" t="inlineStr">
        <is>
          <t>2</t>
        </is>
      </c>
      <c r="G52" s="725" t="inlineStr">
        <is>
          <t>0</t>
        </is>
      </c>
      <c r="H52" s="173" t="inlineStr">
        <is>
          <t>Challenge. Choose friendly + enemy unit. They fight immediately. Force favorable trades with your 9M unit into their key unit. || SWAP: OUT: OGN-134 x2 | IN: Challenge x2</t>
        </is>
      </c>
    </row>
    <row r="53" ht="4" customHeight="1">
      <c r="A53" s="672" t="inlineStr"/>
      <c r="B53" s="672" t="inlineStr"/>
      <c r="C53" s="672" t="inlineStr"/>
      <c r="D53" s="672" t="inlineStr"/>
      <c r="E53" s="672" t="inlineStr"/>
      <c r="F53" s="672" t="inlineStr"/>
      <c r="G53" s="672" t="inlineStr"/>
      <c r="H53" s="672" t="inlineStr"/>
    </row>
    <row r="54" ht="15" customHeight="1">
      <c r="A54" s="715" t="inlineStr">
        <is>
          <t>GOLDEN RULES</t>
        </is>
      </c>
      <c r="B54" s="712" t="inlineStr"/>
      <c r="C54" s="712" t="inlineStr"/>
      <c r="D54" s="712" t="inlineStr"/>
      <c r="E54" s="712" t="inlineStr"/>
      <c r="F54" s="712" t="inlineStr"/>
      <c r="G54" s="712" t="inlineStr"/>
      <c r="H54" s="712" t="inlineStr"/>
    </row>
    <row r="55" ht="28" customHeight="1">
      <c r="A55" s="707" t="inlineStr">
        <is>
          <t>1</t>
        </is>
      </c>
      <c r="B55" s="97" t="inlineStr">
        <is>
          <t>Ramp turns 1-4. Never play Kadregrin before turn 5 — you won't have enough runes. Build up. Be patient. The payoff is coming.</t>
        </is>
      </c>
      <c r="C55" s="774" t="inlineStr"/>
      <c r="D55" s="774" t="inlineStr"/>
      <c r="E55" s="774" t="inlineStr"/>
      <c r="F55" s="774" t="inlineStr"/>
      <c r="G55" s="774" t="inlineStr"/>
      <c r="H55" s="774" t="inlineStr"/>
    </row>
    <row r="56" ht="28" customHeight="1">
      <c r="A56" s="709" t="inlineStr">
        <is>
          <t>2</t>
        </is>
      </c>
      <c r="B56" s="101" t="inlineStr">
        <is>
          <t>The Stormbringer combo: play Raging Firebrand first. Then Stormbringer costs 1 rune. Target Kadregrin in your base. He teleports to a field and deals 9 damage to everything there. All opponent units at that field die.</t>
        </is>
      </c>
      <c r="C56" s="710" t="inlineStr"/>
      <c r="D56" s="710" t="inlineStr"/>
      <c r="E56" s="710" t="inlineStr"/>
      <c r="F56" s="710" t="inlineStr"/>
      <c r="G56" s="710" t="inlineStr"/>
      <c r="H56" s="710" t="inlineStr"/>
    </row>
    <row r="57" ht="28" customHeight="1">
      <c r="A57" s="707" t="inlineStr">
        <is>
          <t>3</t>
        </is>
      </c>
      <c r="B57" s="97" t="inlineStr">
        <is>
          <t>Volibear Furious has DEFLECT 2. Opponent must spend 2 runes to choose him with a spell. Most decks can't afford to. He's effectively removal-proof.</t>
        </is>
      </c>
      <c r="C57" s="774" t="inlineStr"/>
      <c r="D57" s="774" t="inlineStr"/>
      <c r="E57" s="774" t="inlineStr"/>
      <c r="F57" s="774" t="inlineStr"/>
      <c r="G57" s="774" t="inlineStr"/>
      <c r="H57" s="774" t="inlineStr"/>
    </row>
    <row r="58" ht="28" customHeight="1">
      <c r="A58" s="709" t="inlineStr">
        <is>
          <t>4</t>
        </is>
      </c>
      <c r="B58" s="101" t="inlineStr">
        <is>
          <t>Volibear legend channels a rune when a MIGHTY unit (5M+) enters. Play Kadregrin → legend fires → free rune. Use it to play another unit same turn.</t>
        </is>
      </c>
      <c r="C58" s="710" t="inlineStr"/>
      <c r="D58" s="710" t="inlineStr"/>
      <c r="E58" s="710" t="inlineStr"/>
      <c r="F58" s="710" t="inlineStr"/>
      <c r="G58" s="710" t="inlineStr"/>
      <c r="H58" s="710" t="inlineStr"/>
    </row>
    <row r="59" ht="28" customHeight="1">
      <c r="A59" s="707" t="inlineStr">
        <is>
          <t>5</t>
        </is>
      </c>
      <c r="B59" s="97" t="inlineStr">
        <is>
          <t>Challenge in sideboard: pick Kadregrin or Volibear as your friendly unit. Pick their most dangerous threat as their unit. Forced fight. Your 9M wins every time.</t>
        </is>
      </c>
      <c r="C59" s="774" t="inlineStr"/>
      <c r="D59" s="774" t="inlineStr"/>
      <c r="E59" s="774" t="inlineStr"/>
      <c r="F59" s="774" t="inlineStr"/>
      <c r="G59" s="774" t="inlineStr"/>
      <c r="H59" s="774" t="inlineStr"/>
    </row>
    <row r="60" ht="28" customHeight="1">
      <c r="A60" s="709" t="inlineStr">
        <is>
          <t>6</t>
        </is>
      </c>
      <c r="B60" s="101" t="inlineStr">
        <is>
          <t>Unyielding Spirit reaction: hold it face-up. When opponent plays removal on your dragon, react immediately. Spell resolves with zero damage. Dragon lives.</t>
        </is>
      </c>
      <c r="C60" s="710" t="inlineStr"/>
      <c r="D60" s="710" t="inlineStr"/>
      <c r="E60" s="710" t="inlineStr"/>
      <c r="F60" s="710" t="inlineStr"/>
      <c r="G60" s="710" t="inlineStr"/>
      <c r="H60" s="710" t="inlineStr"/>
    </row>
    <row r="61" ht="28" customHeight="1">
      <c r="A61" s="707" t="inlineStr">
        <is>
          <t>7</t>
        </is>
      </c>
      <c r="B61" s="97" t="inlineStr">
        <is>
          <t>Mountain Drake (9/10) is your backup dragon. If Kadregrin gets answered, Drake is waiting. You can have two 9M+ bodies at different fields simultaneously.</t>
        </is>
      </c>
      <c r="C61" s="774" t="inlineStr"/>
      <c r="D61" s="774" t="inlineStr"/>
      <c r="E61" s="774" t="inlineStr"/>
      <c r="F61" s="774" t="inlineStr"/>
      <c r="G61" s="774" t="inlineStr"/>
      <c r="H61" s="774" t="inlineStr"/>
    </row>
    <row r="62" ht="28" customHeight="1">
      <c r="A62" s="709" t="inlineStr">
        <is>
          <t>8</t>
        </is>
      </c>
      <c r="B62" s="101" t="inlineStr">
        <is>
          <t>G2: bring all 3 Unyielding Spirits vs control decks. They cannot remove your dragon. Ever. Spend the game scoring with an unkillable 9M unit.</t>
        </is>
      </c>
      <c r="C62" s="710" t="inlineStr"/>
      <c r="D62" s="710" t="inlineStr"/>
      <c r="E62" s="710" t="inlineStr"/>
      <c r="F62" s="710" t="inlineStr"/>
      <c r="G62" s="710" t="inlineStr"/>
      <c r="H62" s="710"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2:G2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18" customWidth="1" min="3" max="3"/>
    <col width="28" customWidth="1" min="4" max="4"/>
    <col width="28" customWidth="1" min="5" max="5"/>
    <col width="35" customWidth="1" min="6" max="6"/>
    <col width="40" customWidth="1" min="7" max="7"/>
  </cols>
  <sheetData>
    <row r="2" ht="22" customHeight="1">
      <c r="A2" s="809" t="inlineStr">
        <is>
          <t>MATCHUP MATHEMATICS — Might Thresholds and Critical Windows</t>
        </is>
      </c>
      <c r="B2" s="109" t="inlineStr"/>
      <c r="C2" s="109" t="inlineStr"/>
      <c r="D2" s="109" t="inlineStr"/>
      <c r="E2" s="109" t="inlineStr"/>
      <c r="F2" s="109" t="inlineStr"/>
      <c r="G2" s="109" t="inlineStr"/>
    </row>
    <row r="4" ht="18" customHeight="1">
      <c r="A4" s="644" t="inlineStr">
        <is>
          <t>Threat Situation</t>
        </is>
      </c>
      <c r="B4" s="644" t="inlineStr">
        <is>
          <t>Their Might</t>
        </is>
      </c>
      <c r="C4" s="644" t="inlineStr">
        <is>
          <t>You Need</t>
        </is>
      </c>
      <c r="D4" s="644" t="inlineStr">
        <is>
          <t>Answer T2</t>
        </is>
      </c>
      <c r="E4" s="644" t="inlineStr">
        <is>
          <t>Answer T3</t>
        </is>
      </c>
      <c r="F4" s="644" t="inlineStr">
        <is>
          <t>If You Miss Window</t>
        </is>
      </c>
      <c r="G4" s="644" t="inlineStr">
        <is>
          <t>Your Win Path</t>
        </is>
      </c>
    </row>
    <row r="5" ht="45" customHeight="1">
      <c r="A5" s="61" t="inlineStr">
        <is>
          <t>Draven Vanquisher (baseline)</t>
        </is>
      </c>
      <c r="B5" s="64" t="n">
        <v>4</v>
      </c>
      <c r="C5" s="64" t="inlineStr">
        <is>
          <t>5+ Might</t>
        </is>
      </c>
      <c r="D5" s="65" t="inlineStr">
        <is>
          <t>Void Seeker (4 dmg kills it)</t>
        </is>
      </c>
      <c r="E5" s="65" t="inlineStr">
        <is>
          <t>Shakedown (6 dmg)</t>
        </is>
      </c>
      <c r="F5" s="111" t="inlineStr">
        <is>
          <t>He draws every combat. Hand fills. You lose card advantage.</t>
        </is>
      </c>
      <c r="G5" s="112" t="inlineStr">
        <is>
          <t>Apply 6M+ threat T2-3. Force them to spend removal instead.</t>
        </is>
      </c>
    </row>
    <row r="6" ht="45" customHeight="1">
      <c r="A6" s="61" t="inlineStr">
        <is>
          <t>Draven Vanquisher (Fury attacking)</t>
        </is>
      </c>
      <c r="B6" s="64" t="n">
        <v>6</v>
      </c>
      <c r="C6" s="64" t="inlineStr">
        <is>
          <t>7+ Might or removal</t>
        </is>
      </c>
      <c r="D6" s="65" t="inlineStr">
        <is>
          <t>Nothing at 2 runes</t>
        </is>
      </c>
      <c r="E6" s="65" t="inlineStr">
        <is>
          <t>Challenge forces trade</t>
        </is>
      </c>
      <c r="F6" s="111" t="inlineStr">
        <is>
          <t>He swings at 6M every turn. Nothing you own survives clean.</t>
        </is>
      </c>
      <c r="G6" s="112" t="inlineStr">
        <is>
          <t>Fading Memories: he dies next turn regardless of combat result.</t>
        </is>
      </c>
    </row>
    <row r="7" ht="45" customHeight="1">
      <c r="A7" s="804" t="inlineStr">
        <is>
          <t>Irelia Fervent (baseline)</t>
        </is>
      </c>
      <c r="B7" s="807" t="n">
        <v>4</v>
      </c>
      <c r="C7" s="807" t="inlineStr">
        <is>
          <t>5+ Might</t>
        </is>
      </c>
      <c r="D7" s="75" t="inlineStr">
        <is>
          <t>Void Seeker kills</t>
        </is>
      </c>
      <c r="E7" s="75" t="inlineStr">
        <is>
          <t>Void Seeker kills</t>
        </is>
      </c>
      <c r="F7" s="111" t="inlineStr">
        <is>
          <t>She conquers every turn and readies herself.</t>
        </is>
      </c>
      <c r="G7" s="112" t="inlineStr">
        <is>
          <t>Need 2 answers. Guardian Angel absorbs first one.</t>
        </is>
      </c>
    </row>
    <row r="8" ht="45" customHeight="1">
      <c r="A8" s="804" t="inlineStr">
        <is>
          <t>Irelia + Defiant Dance</t>
        </is>
      </c>
      <c r="B8" s="807" t="n">
        <v>7</v>
      </c>
      <c r="C8" s="807" t="inlineStr">
        <is>
          <t>8+ Might</t>
        </is>
      </c>
      <c r="D8" s="75" t="inlineStr">
        <is>
          <t>Nothing viable</t>
        </is>
      </c>
      <c r="E8" s="75" t="inlineStr">
        <is>
          <t>Cruel Patron (6M) ties, loses</t>
        </is>
      </c>
      <c r="F8" s="111" t="inlineStr">
        <is>
          <t>She wins every combat. Double conquests. 2pts/turn.</t>
        </is>
      </c>
      <c r="G8" s="112" t="inlineStr">
        <is>
          <t>Tryndamere (8M) beats her through Defiant Dance (+2 = 6M).</t>
        </is>
      </c>
    </row>
    <row r="9" ht="45" customHeight="1">
      <c r="A9" s="804" t="inlineStr">
        <is>
          <t>Irelia + full tricks (En Garde+)</t>
        </is>
      </c>
      <c r="B9" s="807" t="n">
        <v>10</v>
      </c>
      <c r="C9" s="807" t="inlineStr">
        <is>
          <t>AoE / Temp</t>
        </is>
      </c>
      <c r="D9" s="75" t="inlineStr">
        <is>
          <t>Nothing</t>
        </is>
      </c>
      <c r="E9" s="75" t="inlineStr">
        <is>
          <t>Fading Memories (temp)</t>
        </is>
      </c>
      <c r="F9" s="111" t="inlineStr">
        <is>
          <t>Guardian Angel + 3 tricks = 10M+. Cannot trade.</t>
        </is>
      </c>
      <c r="G9" s="112" t="inlineStr">
        <is>
          <t>Fading Memories: she dies start of THEIR next turn. Only answer.</t>
        </is>
      </c>
    </row>
    <row r="10" ht="45" customHeight="1">
      <c r="A10" s="726" t="inlineStr">
        <is>
          <t>Battering Ram (combo turn)</t>
        </is>
      </c>
      <c r="B10" s="180" t="n">
        <v>5</v>
      </c>
      <c r="C10" s="180" t="inlineStr">
        <is>
          <t>Prevent entry</t>
        </is>
      </c>
      <c r="D10" s="80" t="inlineStr">
        <is>
          <t>Nothing</t>
        </is>
      </c>
      <c r="E10" s="80" t="inlineStr">
        <is>
          <t>Nothing</t>
        </is>
      </c>
      <c r="F10" s="111" t="inlineStr">
        <is>
          <t>Ram enters, attacks, wins combat. 3x = 15M board.</t>
        </is>
      </c>
      <c r="G10" s="112" t="inlineStr">
        <is>
          <t>Minotaur Reckoner in play: Ram enters READY but cannot move to bf.</t>
        </is>
      </c>
    </row>
    <row r="11" ht="45" customHeight="1">
      <c r="A11" s="726" t="inlineStr">
        <is>
          <t>Rhasa (7 trash, enters READY)</t>
        </is>
      </c>
      <c r="B11" s="180" t="n">
        <v>6</v>
      </c>
      <c r="C11" s="180" t="inlineStr">
        <is>
          <t>Prevent movement</t>
        </is>
      </c>
      <c r="D11" s="80" t="inlineStr">
        <is>
          <t>Nothing</t>
        </is>
      </c>
      <c r="E11" s="80" t="inlineStr">
        <is>
          <t>Minotaur Reckoner</t>
        </is>
      </c>
      <c r="F11" s="111" t="inlineStr">
        <is>
          <t>Rhasa attacks immediately. 6M. Multiple copies. Unwinnable.</t>
        </is>
      </c>
      <c r="G11" s="112" t="inlineStr">
        <is>
          <t>Minotaur Reckoner: Rhasa enters READY but locked in base.</t>
        </is>
      </c>
    </row>
    <row r="12" ht="45" customHeight="1">
      <c r="A12" s="675" t="inlineStr">
        <is>
          <t>Full combo: 3x Ram + Rhasa</t>
        </is>
      </c>
      <c r="B12" s="676" t="n">
        <v>21</v>
      </c>
      <c r="C12" s="676" t="inlineStr">
        <is>
          <t>Not beatable in combat</t>
        </is>
      </c>
      <c r="D12" s="111" t="inlineStr">
        <is>
          <t>Nothing</t>
        </is>
      </c>
      <c r="E12" s="111" t="inlineStr">
        <is>
          <t>Nothing</t>
        </is>
      </c>
      <c r="F12" s="111" t="inlineStr">
        <is>
          <t>21+ Might board at 5-8 total runes. Cannot answer.</t>
        </is>
      </c>
      <c r="G12" s="112" t="inlineStr">
        <is>
          <t>MUST prevent combo: Score 5+ pts by T5 or Minotaur on board T3.</t>
        </is>
      </c>
    </row>
    <row r="14" ht="18" customHeight="1">
      <c r="A14" s="593" t="inlineStr">
        <is>
          <t>Matchup</t>
        </is>
      </c>
      <c r="B14" s="593" t="inlineStr">
        <is>
          <t>Must Act By</t>
        </is>
      </c>
      <c r="C14" s="593" t="inlineStr">
        <is>
          <t>P(Key Counter T3)</t>
        </is>
      </c>
      <c r="D14" s="593" t="inlineStr">
        <is>
          <t>Primary Counter</t>
        </is>
      </c>
      <c r="E14" s="593" t="inlineStr">
        <is>
          <t>Secondary Counter</t>
        </is>
      </c>
      <c r="F14" s="593" t="inlineStr">
        <is>
          <t>Consequence of Miss</t>
        </is>
      </c>
      <c r="G14" s="593" t="inlineStr">
        <is>
          <t>Win Condition</t>
        </is>
      </c>
    </row>
    <row r="15" ht="55" customHeight="1">
      <c r="A15" s="772" t="inlineStr">
        <is>
          <t>vs Draven Midrange</t>
        </is>
      </c>
      <c r="B15" s="707" t="inlineStr">
        <is>
          <t>Turn 3</t>
        </is>
      </c>
      <c r="C15" s="615" t="inlineStr">
        <is>
          <t>45% (Void/Shake/Blood)</t>
        </is>
      </c>
      <c r="D15" s="97" t="inlineStr">
        <is>
          <t>Void Seeker: deal 4, kill Vanquisher</t>
        </is>
      </c>
      <c r="E15" s="97" t="inlineStr">
        <is>
          <t>Shakedown: deal 6 OR draw 2</t>
        </is>
      </c>
      <c r="F15" s="111" t="inlineStr">
        <is>
          <t>Vanquisher draws every fight. Hand advantage permanent.</t>
        </is>
      </c>
      <c r="G15" s="112" t="inlineStr">
        <is>
          <t>Score before T5. Apply 6M+ threat early. Tryndamere double points.</t>
        </is>
      </c>
    </row>
    <row r="16" ht="55" customHeight="1">
      <c r="A16" s="100" t="inlineStr">
        <is>
          <t>vs Draven Miracle</t>
        </is>
      </c>
      <c r="B16" s="709" t="inlineStr">
        <is>
          <t>Turn 4</t>
        </is>
      </c>
      <c r="C16" s="615" t="inlineStr">
        <is>
          <t>50% Minotaur by T4</t>
        </is>
      </c>
      <c r="D16" s="101" t="inlineStr">
        <is>
          <t>Minotaur Reckoner: locks Rhasa and Ram</t>
        </is>
      </c>
      <c r="E16" s="101" t="inlineStr">
        <is>
          <t>Thermo Beam: kills Scrapheap draw engine</t>
        </is>
      </c>
      <c r="F16" s="111" t="inlineStr">
        <is>
          <t>T6 board of 21+ Might for 5-8 runes. Unwinnable.</t>
        </is>
      </c>
      <c r="G16" s="112" t="inlineStr">
        <is>
          <t>Score 4+ pts before T5. Minotaur prevents combo turn.</t>
        </is>
      </c>
    </row>
    <row r="17" ht="55" customHeight="1">
      <c r="A17" s="772" t="inlineStr">
        <is>
          <t>vs Irelia Voltron</t>
        </is>
      </c>
      <c r="B17" s="707" t="inlineStr">
        <is>
          <t>Turn 4</t>
        </is>
      </c>
      <c r="C17" s="676" t="inlineStr">
        <is>
          <t>36% Fading Memories (only 2x!)</t>
        </is>
      </c>
      <c r="D17" s="97" t="inlineStr">
        <is>
          <t>Fading Memories: kills Irelia regardless of tricks</t>
        </is>
      </c>
      <c r="E17" s="97" t="inlineStr">
        <is>
          <t>Thermo Beam + removal (2 answer sequence)</t>
        </is>
      </c>
      <c r="F17" s="111" t="inlineStr">
        <is>
          <t>Irelia double conquests. 2pts/turn. Win by T6.</t>
        </is>
      </c>
      <c r="G17" s="112" t="inlineStr">
        <is>
          <t>Need 2 answers for Irelia. Or race to 8pts before she stabilises.</t>
        </is>
      </c>
    </row>
    <row r="18" ht="55" customHeight="1">
      <c r="A18" s="100" t="inlineStr">
        <is>
          <t>vs Ezreal Control</t>
        </is>
      </c>
      <c r="B18" s="709" t="inlineStr">
        <is>
          <t>Turn 5</t>
        </is>
      </c>
      <c r="C18" s="615" t="inlineStr">
        <is>
          <t>50% Minotaur by T4</t>
        </is>
      </c>
      <c r="D18" s="101" t="inlineStr">
        <is>
          <t>Minotaur Reckoner: shuts combo flood turn</t>
        </is>
      </c>
      <c r="E18" s="101" t="inlineStr">
        <is>
          <t>Corrupt Enforcer: hand drain + Tryndamere pressure</t>
        </is>
      </c>
      <c r="F18" s="111" t="inlineStr">
        <is>
          <t>T6 combo board. Cannot answer. Loss inevitable.</t>
        </is>
      </c>
      <c r="G18" s="112" t="inlineStr">
        <is>
          <t>Win before T6. Score 5+pts T5. Corrupt drains their hand.</t>
        </is>
      </c>
    </row>
    <row r="19" ht="18" customHeight="1">
      <c r="A19" s="645" t="inlineStr">
        <is>
          <t>KEY INSIGHT: WHY MINOTAUR RECKONER IS YOUR MOST IMPORTANT CARD</t>
        </is>
      </c>
      <c r="B19" s="744" t="inlineStr"/>
      <c r="C19" s="744" t="inlineStr"/>
      <c r="D19" s="744" t="inlineStr"/>
      <c r="E19" s="744" t="inlineStr"/>
      <c r="F19" s="744" t="inlineStr"/>
      <c r="G19" s="744" t="inlineStr"/>
    </row>
    <row r="20" ht="90" customHeight="1">
      <c r="A20" s="115" t="inlineStr">
        <is>
          <t>SFD-014 Minotaur Reckoner — 5 cost, 5 Might — "Units can't move to base."
DRAVEN MIRACLE: Battering Ram and Rhasa enter READY but cannot move to a battlefield. They sit in base doing nothing. Combo turn neutralized.
EZREAL: Same result. Entire combo relies on flooding units that then attack. Minotaur stops the movement. Their flood turn produces 0 damage.
You own 3 copies. P(drawing by T3) = 44.8%. P(by T4) = 49.8%.
This card should appear in EVERY deck you build. It is the single hardest counter to the top 2 meta combos in the game right now.</t>
        </is>
      </c>
      <c r="B20" s="702" t="inlineStr"/>
      <c r="C20" s="702" t="inlineStr"/>
      <c r="D20" s="702" t="inlineStr"/>
      <c r="E20" s="702" t="inlineStr"/>
      <c r="F20" s="702" t="inlineStr"/>
      <c r="G20" s="70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2:K13"/>
  <sheetViews>
    <sheetView workbookViewId="0">
      <pane ySplit="2" topLeftCell="A3" activePane="bottomLeft" state="frozen"/>
      <selection pane="bottomLeft" activeCell="A1" sqref="A1"/>
    </sheetView>
  </sheetViews>
  <sheetFormatPr baseColWidth="8" defaultRowHeight="15"/>
  <cols>
    <col width="6" customWidth="1" min="1" max="1"/>
    <col width="10" customWidth="1" min="2" max="2"/>
    <col width="28" customWidth="1" min="3" max="3"/>
    <col width="8" customWidth="1" min="4" max="4"/>
    <col width="8" customWidth="1" min="5" max="5"/>
    <col width="10" customWidth="1" min="6" max="6"/>
    <col width="10" customWidth="1" min="7" max="7"/>
    <col width="10" customWidth="1" min="8" max="8"/>
    <col width="10" customWidth="1" min="9" max="9"/>
    <col width="8" customWidth="1" min="10" max="10"/>
    <col width="45" customWidth="1" min="11" max="11"/>
  </cols>
  <sheetData>
    <row r="2" ht="22" customHeight="1">
      <c r="A2" s="809" t="inlineStr">
        <is>
          <t>BUY LIST &amp; GAP ANALYSIS — The 80% Standard</t>
        </is>
      </c>
      <c r="B2" s="810" t="inlineStr"/>
      <c r="C2" s="810" t="inlineStr"/>
      <c r="D2" s="810" t="inlineStr"/>
      <c r="E2" s="810" t="inlineStr"/>
      <c r="F2" s="810" t="inlineStr"/>
      <c r="G2" s="810" t="inlineStr"/>
      <c r="H2" s="810" t="inlineStr"/>
      <c r="I2" s="810" t="inlineStr"/>
      <c r="J2" s="810" t="inlineStr"/>
      <c r="K2" s="810" t="inlineStr"/>
    </row>
    <row r="3" ht="40" customHeight="1">
      <c r="A3" s="119" t="inlineStr">
        <is>
          <t>THE METRIC: Every threat category must reach 80%+ probability by its critical window. A single x3 card = 33-50% (not enough). Two functionally equivalent x3 cards = 69-75%. Add x1 cheap key card to a gap = +10-15%. Target: 80%+ across all categories.</t>
        </is>
      </c>
      <c r="B3" s="205" t="inlineStr"/>
      <c r="C3" s="205" t="inlineStr"/>
      <c r="D3" s="205" t="inlineStr"/>
      <c r="E3" s="205" t="inlineStr"/>
      <c r="F3" s="205" t="inlineStr"/>
      <c r="G3" s="205" t="inlineStr"/>
      <c r="H3" s="205" t="inlineStr"/>
      <c r="I3" s="205" t="inlineStr"/>
      <c r="J3" s="205" t="inlineStr"/>
      <c r="K3" s="205" t="inlineStr"/>
    </row>
    <row r="4" ht="18" customHeight="1">
      <c r="A4" s="475" t="inlineStr">
        <is>
          <t>Priority</t>
        </is>
      </c>
      <c r="B4" s="475" t="inlineStr">
        <is>
          <t>Card ID</t>
        </is>
      </c>
      <c r="C4" s="475" t="inlineStr">
        <is>
          <t>Card Name</t>
        </is>
      </c>
      <c r="D4" s="475" t="inlineStr">
        <is>
          <t>Cost $</t>
        </is>
      </c>
      <c r="E4" s="475" t="inlineStr">
        <is>
          <t>Own x</t>
        </is>
      </c>
      <c r="F4" s="475" t="inlineStr">
        <is>
          <t>Window</t>
        </is>
      </c>
      <c r="G4" s="475" t="inlineStr">
        <is>
          <t>Current%</t>
        </is>
      </c>
      <c r="H4" s="475" t="inlineStr">
        <is>
          <t>After Buy%</t>
        </is>
      </c>
      <c r="I4" s="475" t="inlineStr">
        <is>
          <t>Target%</t>
        </is>
      </c>
      <c r="J4" s="475" t="inlineStr">
        <is>
          <t>Pass?</t>
        </is>
      </c>
      <c r="K4" s="475" t="inlineStr">
        <is>
          <t>What It Solves</t>
        </is>
      </c>
    </row>
    <row r="5" ht="40" customHeight="1">
      <c r="A5" s="644" t="n">
        <v>1</v>
      </c>
      <c r="B5" s="360" t="inlineStr">
        <is>
          <t>OGN-180</t>
        </is>
      </c>
      <c r="C5" s="772" t="inlineStr">
        <is>
          <t>Fading Memories</t>
        </is>
      </c>
      <c r="D5" s="807" t="inlineStr">
        <is>
          <t>$0.16</t>
        </is>
      </c>
      <c r="E5" s="360" t="inlineStr">
        <is>
          <t>x2</t>
        </is>
      </c>
      <c r="F5" s="360" t="inlineStr">
        <is>
          <t>T4</t>
        </is>
      </c>
      <c r="G5" s="676" t="inlineStr">
        <is>
          <t>36.4%</t>
        </is>
      </c>
      <c r="H5" s="676" t="inlineStr">
        <is>
          <t>69.4%</t>
        </is>
      </c>
      <c r="I5" s="707" t="inlineStr">
        <is>
          <t>80%</t>
        </is>
      </c>
      <c r="J5" s="676" t="inlineStr">
        <is>
          <t>✗</t>
        </is>
      </c>
      <c r="K5" s="97" t="inlineStr">
        <is>
          <t>ONLY card that kills Irelia through Guardian Angel. Currently 36.4% — unacceptably low.</t>
        </is>
      </c>
    </row>
    <row r="6" ht="40" customHeight="1">
      <c r="A6" s="128" t="n">
        <v>2</v>
      </c>
      <c r="B6" s="360" t="inlineStr">
        <is>
          <t>SFD-???</t>
        </is>
      </c>
      <c r="C6" s="772" t="inlineStr">
        <is>
          <t>Rebuke</t>
        </is>
      </c>
      <c r="D6" s="807" t="inlineStr">
        <is>
          <t>$0.42</t>
        </is>
      </c>
      <c r="E6" s="360" t="inlineStr">
        <is>
          <t>x0</t>
        </is>
      </c>
      <c r="F6" s="360" t="inlineStr">
        <is>
          <t>T3</t>
        </is>
      </c>
      <c r="G6" s="615" t="inlineStr">
        <is>
          <t>83.2%</t>
        </is>
      </c>
      <c r="H6" s="679" t="inlineStr">
        <is>
          <t>90.7%</t>
        </is>
      </c>
      <c r="I6" s="707" t="inlineStr">
        <is>
          <t>80%</t>
        </is>
      </c>
      <c r="J6" s="679" t="inlineStr">
        <is>
          <t>✓</t>
        </is>
      </c>
      <c r="K6" s="97" t="inlineStr">
        <is>
          <t>Reaction kill unit. 90% meta popularity. Second universal removal to hit 80% vs Draven. Works reaction timing.</t>
        </is>
      </c>
    </row>
    <row r="7" ht="40" customHeight="1">
      <c r="A7" s="263" t="n">
        <v>3</v>
      </c>
      <c r="B7" s="360" t="inlineStr">
        <is>
          <t>OGN-???</t>
        </is>
      </c>
      <c r="C7" s="772" t="inlineStr">
        <is>
          <t>Ride the Wind</t>
        </is>
      </c>
      <c r="D7" s="807" t="inlineStr">
        <is>
          <t>$0.57</t>
        </is>
      </c>
      <c r="E7" s="360" t="inlineStr">
        <is>
          <t>x0</t>
        </is>
      </c>
      <c r="F7" s="360" t="inlineStr">
        <is>
          <t>T2</t>
        </is>
      </c>
      <c r="G7" s="676" t="inlineStr">
        <is>
          <t>63.3%</t>
        </is>
      </c>
      <c r="H7" s="615" t="inlineStr">
        <is>
          <t>77.7%</t>
        </is>
      </c>
      <c r="I7" s="707" t="inlineStr">
        <is>
          <t>80%</t>
        </is>
      </c>
      <c r="J7" s="615" t="inlineStr">
        <is>
          <t>~</t>
        </is>
      </c>
      <c r="K7" s="97" t="inlineStr">
        <is>
          <t>Move unit + ready it. Closes bounce/denial gap to 83%. Used in Irelia and Annie — you understand what it does.</t>
        </is>
      </c>
    </row>
    <row r="8" ht="40" customHeight="1">
      <c r="A8" s="515" t="n">
        <v>4</v>
      </c>
      <c r="B8" s="360" t="inlineStr">
        <is>
          <t>OGN-???</t>
        </is>
      </c>
      <c r="C8" s="772" t="inlineStr">
        <is>
          <t>En Garde</t>
        </is>
      </c>
      <c r="D8" s="807" t="inlineStr">
        <is>
          <t>$0.17</t>
        </is>
      </c>
      <c r="E8" s="360" t="inlineStr">
        <is>
          <t>x0</t>
        </is>
      </c>
      <c r="F8" s="360" t="inlineStr">
        <is>
          <t>T3</t>
        </is>
      </c>
      <c r="G8" s="676" t="inlineStr">
        <is>
          <t>69.5%</t>
        </is>
      </c>
      <c r="H8" s="679" t="inlineStr">
        <is>
          <t>83.2%</t>
        </is>
      </c>
      <c r="I8" s="707" t="inlineStr">
        <is>
          <t>80%</t>
        </is>
      </c>
      <c r="J8" s="679" t="inlineStr">
        <is>
          <t>✓</t>
        </is>
      </c>
      <c r="K8" s="97" t="inlineStr">
        <is>
          <t>Reaction +3M to your unit in combat. Boosts Cruel Patron (6M) to 9M = beats Irelia through all tricks.</t>
        </is>
      </c>
    </row>
    <row r="9" ht="40" customHeight="1">
      <c r="A9" s="593" t="n">
        <v>5</v>
      </c>
      <c r="B9" s="360" t="inlineStr">
        <is>
          <t>SFD-???</t>
        </is>
      </c>
      <c r="C9" s="772" t="inlineStr">
        <is>
          <t>Switcheroo</t>
        </is>
      </c>
      <c r="D9" s="807" t="inlineStr">
        <is>
          <t>$0.49</t>
        </is>
      </c>
      <c r="E9" s="360" t="inlineStr">
        <is>
          <t>x0</t>
        </is>
      </c>
      <c r="F9" s="360" t="inlineStr">
        <is>
          <t>T3</t>
        </is>
      </c>
      <c r="G9" s="676" t="inlineStr">
        <is>
          <t>62.6%</t>
        </is>
      </c>
      <c r="H9" s="615" t="inlineStr">
        <is>
          <t>74.7%</t>
        </is>
      </c>
      <c r="I9" s="707" t="inlineStr">
        <is>
          <t>80%</t>
        </is>
      </c>
      <c r="J9" s="615" t="inlineStr">
        <is>
          <t>~</t>
        </is>
      </c>
      <c r="K9" s="97" t="inlineStr">
        <is>
          <t>Hidden action: swap Might of two units at same bf. Make their 6M unit 2M, your 2M becomes 6M. Surprise combat flip.</t>
        </is>
      </c>
    </row>
    <row r="10" ht="18" customHeight="1">
      <c r="A10" s="516" t="inlineStr">
        <is>
          <t>TOTAL ESTIMATED SPEND</t>
        </is>
      </c>
      <c r="B10" s="301" t="inlineStr"/>
      <c r="C10" s="301" t="inlineStr"/>
      <c r="D10" s="301" t="inlineStr"/>
      <c r="E10" s="301" t="inlineStr"/>
      <c r="F10" s="301" t="inlineStr"/>
      <c r="G10" s="301" t="inlineStr"/>
      <c r="H10" s="301" t="inlineStr"/>
      <c r="I10" s="301" t="inlineStr"/>
      <c r="J10" s="301" t="inlineStr"/>
      <c r="K10" s="301" t="inlineStr"/>
    </row>
    <row r="11" ht="60" customHeight="1">
      <c r="A11" s="136" t="inlineStr">
        <is>
          <t>Fading Memories x1:     $0.16
Rebuke x3:               $1.26
Ride the Wind x3:        $1.71
En Garde x3:             $0.51
Switcheroo x2:           $0.98
─────────────────────────────
TOTAL:                   ~$4.62 USD
All prices from riftdecks.com as of March 2026. Buy from TCGPlayer or local game store. These are all commons/uncommons — shipping may cost more than the cards.</t>
        </is>
      </c>
      <c r="B11" s="765" t="inlineStr"/>
      <c r="C11" s="765" t="inlineStr"/>
      <c r="D11" s="765" t="inlineStr"/>
      <c r="E11" s="765" t="inlineStr"/>
      <c r="F11" s="765" t="inlineStr"/>
      <c r="G11" s="765" t="inlineStr"/>
      <c r="H11" s="765" t="inlineStr"/>
      <c r="I11" s="765" t="inlineStr"/>
      <c r="J11" s="765" t="inlineStr"/>
      <c r="K11" s="765" t="inlineStr"/>
    </row>
    <row r="12" ht="18" customHeight="1">
      <c r="A12" s="645" t="inlineStr">
        <is>
          <t>GAPS THAT REMAIN AFTER BUYING — Require Different Strategy</t>
        </is>
      </c>
      <c r="B12" s="744" t="inlineStr"/>
      <c r="C12" s="744" t="inlineStr"/>
      <c r="D12" s="744" t="inlineStr"/>
      <c r="E12" s="744" t="inlineStr"/>
      <c r="F12" s="744" t="inlineStr"/>
      <c r="G12" s="744" t="inlineStr"/>
      <c r="H12" s="744" t="inlineStr"/>
      <c r="I12" s="744" t="inlineStr"/>
      <c r="J12" s="744" t="inlineStr"/>
      <c r="K12" s="744" t="inlineStr"/>
    </row>
    <row r="13" ht="80" customHeight="1">
      <c r="A13" s="111" t="inlineStr">
        <is>
          <t>MINOTAUR RECKONER — Already at x3 (49.8% by T4). Cannot improve with copies since you are at cap. No functional equivalent in your collection that also locks unit movement. STRATEGY: Compensate by applying scoring pressure T3-4 so combo turn is irrelevant. Accept this gap and race instead of trying to block.
IRELIA 8M+ COUNTER — Tryndamere x3 (49.8% by T4) is your only 8M+ threat. Fading Memories covers this after the buy, but not in combat. If Fading Memories is not in hand, you lose the combat. STRATEGY: Prioritize scoring before Irelia stabilises. She needs T3 to set up. Apply Cruel Patron (6M) T2-3 to force them to react before she drops.
COMBO BOARD AoE — No card in your collection deals AoE damage to all units at a battlefield. Thermo Beam kills all GEAR but not units. Once Rhasa+Ram flood lands, it cannot be answered. STRATEGY: Minotaur Reckoner must be on board before T6. This is the only prevention.</t>
        </is>
      </c>
      <c r="B13" s="677" t="inlineStr"/>
      <c r="C13" s="677" t="inlineStr"/>
      <c r="D13" s="677" t="inlineStr"/>
      <c r="E13" s="677" t="inlineStr"/>
      <c r="F13" s="677" t="inlineStr"/>
      <c r="G13" s="677" t="inlineStr"/>
      <c r="H13" s="677" t="inlineStr"/>
      <c r="I13" s="677" t="inlineStr"/>
      <c r="J13" s="677" t="inlineStr"/>
      <c r="K13" s="677"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4"/>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8" customWidth="1" min="8" max="8"/>
  </cols>
  <sheetData>
    <row r="1" ht="24" customHeight="1">
      <c r="A1" s="728" t="inlineStr">
        <is>
          <t>MISS FORTUNE — BOUNTY HUNTER | Body+Chaos | Go Sneaky | 40 Cards</t>
        </is>
      </c>
      <c r="B1" s="729" t="inlineStr"/>
      <c r="C1" s="729" t="inlineStr"/>
      <c r="D1" s="729" t="inlineStr"/>
      <c r="E1" s="729" t="inlineStr"/>
      <c r="F1" s="729" t="inlineStr"/>
      <c r="G1" s="729" t="inlineStr"/>
      <c r="H1" s="729" t="inlineStr"/>
    </row>
    <row r="2" ht="55" customHeight="1">
      <c r="A2" s="730" t="inlineStr">
        <is>
          <t>STRATEGY — GO SNEAKY: Your units can teleport. Miss Fortune legend gives any unit GANKING this turn — it can move from field to field in one activation. Trinity Force equipped unit scores 1 point just by holding a field. Passive scoring while your units are moving everywhere. Ride the Wind: conquer → ready → GANKING → conquer again same turn. One unit scores two fields in one turn. Opponent can never pin you down because you're never where they expect.</t>
        </is>
      </c>
      <c r="B2" s="731" t="inlineStr"/>
      <c r="C2" s="731" t="inlineStr"/>
      <c r="D2" s="731" t="inlineStr"/>
      <c r="E2" s="731" t="inlineStr"/>
      <c r="F2" s="731" t="inlineStr"/>
      <c r="G2" s="731" t="inlineStr"/>
      <c r="H2" s="731" t="inlineStr"/>
    </row>
    <row r="3" ht="4" customHeight="1">
      <c r="A3" s="672" t="inlineStr"/>
      <c r="B3" s="672" t="inlineStr"/>
      <c r="C3" s="672" t="inlineStr"/>
      <c r="D3" s="672" t="inlineStr"/>
      <c r="E3" s="672" t="inlineStr"/>
      <c r="F3" s="672" t="inlineStr"/>
      <c r="G3" s="672" t="inlineStr"/>
      <c r="H3" s="672" t="inlineStr"/>
    </row>
    <row r="4" ht="15" customHeight="1">
      <c r="A4" s="732" t="inlineStr">
        <is>
          <t>MATCHUP ANALYSIS — G1 Card-Based Estimates</t>
        </is>
      </c>
      <c r="B4" s="729" t="inlineStr"/>
      <c r="C4" s="729" t="inlineStr"/>
      <c r="D4" s="729" t="inlineStr"/>
      <c r="E4" s="729" t="inlineStr"/>
      <c r="F4" s="729" t="inlineStr"/>
      <c r="G4" s="729" t="inlineStr"/>
      <c r="H4" s="729" t="inlineStr"/>
    </row>
    <row r="5" ht="18" customHeight="1">
      <c r="A5" s="811" t="inlineStr">
        <is>
          <t>Matchup</t>
        </is>
      </c>
      <c r="B5" s="811" t="inlineStr">
        <is>
          <t>Win Rate G1</t>
        </is>
      </c>
      <c r="C5" s="811" t="inlineStr">
        <is>
          <t>Result</t>
        </is>
      </c>
      <c r="D5" s="811" t="inlineStr"/>
      <c r="E5" s="811" t="inlineStr"/>
      <c r="F5" s="811" t="inlineStr"/>
      <c r="G5" s="811" t="inlineStr"/>
      <c r="H5" s="811" t="inlineStr">
        <is>
          <t>Card-Based Analysis</t>
        </is>
      </c>
    </row>
    <row r="6" ht="30" customHeight="1">
      <c r="A6" s="675" t="inlineStr">
        <is>
          <t>vs Draven (meta)</t>
        </is>
      </c>
      <c r="B6" s="676" t="inlineStr">
        <is>
          <t>45%</t>
        </is>
      </c>
      <c r="C6" s="676" t="inlineStr">
        <is>
          <t>✗ SB NEEDED</t>
        </is>
      </c>
      <c r="D6" s="677" t="inlineStr"/>
      <c r="E6" s="677" t="inlineStr"/>
      <c r="F6" s="677" t="inlineStr"/>
      <c r="G6" s="677" t="inlineStr"/>
      <c r="H6" s="111" t="inlineStr">
        <is>
          <t>ASSAULT flood eats weak units. Draven draws every combat win. You must answer his combat pump spells or he runs away on cards.</t>
        </is>
      </c>
    </row>
    <row r="7" ht="30" customHeight="1">
      <c r="A7" s="678" t="inlineStr">
        <is>
          <t>vs Irelia (meta)</t>
        </is>
      </c>
      <c r="B7" s="679" t="inlineStr">
        <is>
          <t>68%</t>
        </is>
      </c>
      <c r="C7" s="679" t="inlineStr">
        <is>
          <t>✓ STRONG</t>
        </is>
      </c>
      <c r="D7" s="680" t="inlineStr"/>
      <c r="E7" s="680" t="inlineStr"/>
      <c r="F7" s="680" t="inlineStr"/>
      <c r="G7" s="680" t="inlineStr"/>
      <c r="H7" s="112" t="inlineStr">
        <is>
          <t>She protects one unit and double-conquers. Your deck floods 2+ units at fields she can only cover one of. She can't be everywhere.</t>
        </is>
      </c>
    </row>
    <row r="8" ht="30" customHeight="1">
      <c r="A8" s="678" t="inlineStr">
        <is>
          <t>vs Ezreal (meta)</t>
        </is>
      </c>
      <c r="B8" s="679" t="inlineStr">
        <is>
          <t>65%</t>
        </is>
      </c>
      <c r="C8" s="679" t="inlineStr">
        <is>
          <t>✓ STRONG</t>
        </is>
      </c>
      <c r="D8" s="680" t="inlineStr"/>
      <c r="E8" s="680" t="inlineStr"/>
      <c r="F8" s="680" t="inlineStr"/>
      <c r="G8" s="680" t="inlineStr"/>
      <c r="H8" s="112" t="inlineStr">
        <is>
          <t>Reactive draw engine. He needs to target your units twice per turn to draw. Play proactively, he can't keep up with your board pressure.</t>
        </is>
      </c>
    </row>
    <row r="9" ht="30" customHeight="1">
      <c r="A9" s="675" t="inlineStr">
        <is>
          <t>vs Draven (ours)</t>
        </is>
      </c>
      <c r="B9" s="676" t="inlineStr">
        <is>
          <t>42%</t>
        </is>
      </c>
      <c r="C9" s="676" t="inlineStr">
        <is>
          <t>✗ SB NEEDED</t>
        </is>
      </c>
      <c r="D9" s="677" t="inlineStr"/>
      <c r="E9" s="677" t="inlineStr"/>
      <c r="F9" s="677" t="inlineStr"/>
      <c r="G9" s="677" t="inlineStr"/>
      <c r="H9" s="111" t="inlineStr">
        <is>
          <t>Draven mirror or Draven vs your deck. ASSAULT units at similar M. Whoever draws Blood Rush or combat pump first wins. Close by design.</t>
        </is>
      </c>
    </row>
    <row r="10" ht="30" customHeight="1">
      <c r="A10" s="799" t="inlineStr">
        <is>
          <t>vs Azir (ours)</t>
        </is>
      </c>
      <c r="B10" s="802" t="inlineStr">
        <is>
          <t>55%</t>
        </is>
      </c>
      <c r="C10" s="802" t="inlineStr">
        <is>
          <t>~ CLOSE</t>
        </is>
      </c>
      <c r="D10" s="702" t="inlineStr"/>
      <c r="E10" s="702" t="inlineStr"/>
      <c r="F10" s="702" t="inlineStr"/>
      <c r="G10" s="702" t="inlineStr"/>
      <c r="H10" s="217" t="inlineStr">
        <is>
          <t>Token flood hits both fields with 2M soldiers. ASSAULT units beat tokens. Token decks struggle vs single high-M units. Dependent on matchup speed.</t>
        </is>
      </c>
    </row>
    <row r="11" ht="30" customHeight="1">
      <c r="A11" s="799" t="inlineStr">
        <is>
          <t>vs Volibear (ours)</t>
        </is>
      </c>
      <c r="B11" s="802" t="inlineStr">
        <is>
          <t>58%</t>
        </is>
      </c>
      <c r="C11" s="802" t="inlineStr">
        <is>
          <t>~ CLOSE</t>
        </is>
      </c>
      <c r="D11" s="702" t="inlineStr"/>
      <c r="E11" s="702" t="inlineStr"/>
      <c r="F11" s="702" t="inlineStr"/>
      <c r="G11" s="702" t="inlineStr"/>
      <c r="H11" s="217" t="inlineStr">
        <is>
          <t>Dragon is 9M. Arrives turn 6. Fast decks score 4-5pts before it lands. Slow decks fall behind waiting for ramp. G2 SB answers the dragon directly.</t>
        </is>
      </c>
    </row>
    <row r="12" ht="18" customHeight="1">
      <c r="A12" s="732" t="inlineStr">
        <is>
          <t>META AVG G1</t>
        </is>
      </c>
      <c r="B12" s="816" t="inlineStr">
        <is>
          <t>59%</t>
        </is>
      </c>
      <c r="C12" s="816" t="inlineStr">
        <is>
          <t>NEEDS SB</t>
        </is>
      </c>
      <c r="D12" s="729" t="inlineStr"/>
      <c r="E12" s="729" t="inlineStr"/>
      <c r="F12" s="729" t="inlineStr"/>
      <c r="G12" s="729" t="inlineStr"/>
      <c r="H12" s="734" t="inlineStr">
        <is>
          <t>G2 SB: Anivia wipes all enemy units at a field on attack. Kayn moves around ignoring damage.</t>
        </is>
      </c>
    </row>
    <row r="13" ht="4" customHeight="1">
      <c r="A13" s="672" t="inlineStr"/>
      <c r="B13" s="672" t="inlineStr"/>
      <c r="C13" s="672" t="inlineStr"/>
      <c r="D13" s="672" t="inlineStr"/>
      <c r="E13" s="672" t="inlineStr"/>
      <c r="F13" s="672" t="inlineStr"/>
      <c r="G13" s="672" t="inlineStr"/>
      <c r="H13" s="672" t="inlineStr"/>
    </row>
    <row r="14" ht="15" customHeight="1">
      <c r="A14" s="732" t="inlineStr">
        <is>
          <t>HOW TO PLAY — A B C D E F G</t>
        </is>
      </c>
      <c r="B14" s="729" t="inlineStr"/>
      <c r="C14" s="729" t="inlineStr"/>
      <c r="D14" s="729" t="inlineStr"/>
      <c r="E14" s="729" t="inlineStr"/>
      <c r="F14" s="729" t="inlineStr"/>
      <c r="G14" s="729" t="inlineStr"/>
      <c r="H14" s="729" t="inlineStr"/>
    </row>
    <row r="15" ht="32" customHeight="1">
      <c r="A15" s="683" t="inlineStr">
        <is>
          <t>A</t>
        </is>
      </c>
      <c r="B15" s="684" t="inlineStr">
        <is>
          <t>AWAKEN</t>
        </is>
      </c>
      <c r="C15" s="685" t="inlineStr">
        <is>
          <t>Everything readies. Check: does your Trinity Force carrier have GANKING? Is Ride the Wind in hand?</t>
        </is>
      </c>
      <c r="D15" s="820" t="inlineStr"/>
      <c r="E15" s="820" t="inlineStr"/>
      <c r="F15" s="820" t="inlineStr"/>
      <c r="G15" s="820" t="inlineStr"/>
      <c r="H15" s="820" t="inlineStr"/>
    </row>
    <row r="16" ht="32" customHeight="1">
      <c r="A16" s="687" t="inlineStr">
        <is>
          <t>B</t>
        </is>
      </c>
      <c r="B16" s="688" t="inlineStr">
        <is>
          <t>BEGINNING</t>
        </is>
      </c>
      <c r="C16" s="685" t="inlineStr">
        <is>
          <t>Score points. Trinity Force on a holding unit = free point before you do anything this turn.</t>
        </is>
      </c>
      <c r="D16" s="820" t="inlineStr"/>
      <c r="E16" s="820" t="inlineStr"/>
      <c r="F16" s="820" t="inlineStr"/>
      <c r="G16" s="820" t="inlineStr"/>
      <c r="H16" s="820" t="inlineStr"/>
    </row>
    <row r="17" ht="32" customHeight="1">
      <c r="A17" s="689" t="inlineStr">
        <is>
          <t>C</t>
        </is>
      </c>
      <c r="B17" s="690" t="inlineStr">
        <is>
          <t>CHANNEL</t>
        </is>
      </c>
      <c r="C17" s="685" t="inlineStr">
        <is>
          <t>Draw Body (orange) and Chaos (purple) runes. Plan which unit gets GANKING this turn.</t>
        </is>
      </c>
      <c r="D17" s="820" t="inlineStr"/>
      <c r="E17" s="820" t="inlineStr"/>
      <c r="F17" s="820" t="inlineStr"/>
      <c r="G17" s="820" t="inlineStr"/>
      <c r="H17" s="820" t="inlineStr"/>
    </row>
    <row r="18" ht="32" customHeight="1">
      <c r="A18" s="691" t="inlineStr">
        <is>
          <t>D</t>
        </is>
      </c>
      <c r="B18" s="692" t="inlineStr">
        <is>
          <t>DRAW</t>
        </is>
      </c>
      <c r="C18" s="685" t="inlineStr">
        <is>
          <t>Draw 1 card. MF Buccaneer champion: friendly units can deploy to open battlefields directly.</t>
        </is>
      </c>
      <c r="D18" s="820" t="inlineStr"/>
      <c r="E18" s="820" t="inlineStr"/>
      <c r="F18" s="820" t="inlineStr"/>
      <c r="G18" s="820" t="inlineStr"/>
      <c r="H18" s="820" t="inlineStr"/>
    </row>
    <row r="19" ht="32" customHeight="1">
      <c r="A19" s="693" t="inlineStr">
        <is>
          <t>E</t>
        </is>
      </c>
      <c r="B19" s="694" t="inlineStr">
        <is>
          <t>EXHAUST</t>
        </is>
      </c>
      <c r="C19" s="685" t="inlineStr">
        <is>
          <t>Exhaust MF legend: give a unit GANKING this turn. It can now move field to field. Target your Trinity Force carrier.</t>
        </is>
      </c>
      <c r="D19" s="820" t="inlineStr"/>
      <c r="E19" s="820" t="inlineStr"/>
      <c r="F19" s="820" t="inlineStr"/>
      <c r="G19" s="820" t="inlineStr"/>
      <c r="H19" s="820" t="inlineStr"/>
    </row>
    <row r="20" ht="32" customHeight="1">
      <c r="A20" s="695" t="inlineStr">
        <is>
          <t>F</t>
        </is>
      </c>
      <c r="B20" s="784" t="inlineStr">
        <is>
          <t>FIELD</t>
        </is>
      </c>
      <c r="C20" s="685" t="inlineStr">
        <is>
          <t>Play MF Buccaneer to an open battlefield directly. Play units to open fields from hand. No base deployment needed.</t>
        </is>
      </c>
      <c r="D20" s="820" t="inlineStr"/>
      <c r="E20" s="820" t="inlineStr"/>
      <c r="F20" s="820" t="inlineStr"/>
      <c r="G20" s="820" t="inlineStr"/>
      <c r="H20" s="820" t="inlineStr"/>
    </row>
    <row r="21" ht="32" customHeight="1">
      <c r="A21" s="697" t="inlineStr">
        <is>
          <t>G</t>
        </is>
      </c>
      <c r="B21" s="698" t="inlineStr">
        <is>
          <t>GANKING</t>
        </is>
      </c>
      <c r="C21" s="685" t="inlineStr">
        <is>
          <t>Trinity carrier conquers field 1. Ride the Wind: ready it + give GANKING. Conquer field 2 same turn. Score 2 points + passive Trinity. Opponent has no answer.</t>
        </is>
      </c>
      <c r="D21" s="820" t="inlineStr"/>
      <c r="E21" s="820" t="inlineStr"/>
      <c r="F21" s="820" t="inlineStr"/>
      <c r="G21" s="820" t="inlineStr"/>
      <c r="H21" s="820" t="inlineStr"/>
    </row>
    <row r="22" ht="4" customHeight="1">
      <c r="A22" s="672" t="inlineStr"/>
      <c r="B22" s="672" t="inlineStr"/>
      <c r="C22" s="672" t="inlineStr"/>
      <c r="D22" s="672" t="inlineStr"/>
      <c r="E22" s="672" t="inlineStr"/>
      <c r="F22" s="672" t="inlineStr"/>
      <c r="G22" s="672" t="inlineStr"/>
      <c r="H22" s="672" t="inlineStr"/>
    </row>
    <row r="23" ht="15" customHeight="1">
      <c r="A23" s="732" t="inlineStr">
        <is>
          <t>LEGEND + CHAMPION ZONE</t>
        </is>
      </c>
      <c r="B23" s="729" t="inlineStr"/>
      <c r="C23" s="729" t="inlineStr"/>
      <c r="D23" s="729" t="inlineStr"/>
      <c r="E23" s="729" t="inlineStr"/>
      <c r="F23" s="729" t="inlineStr"/>
      <c r="G23" s="729" t="inlineStr"/>
      <c r="H23" s="729" t="inlineStr"/>
    </row>
    <row r="24" ht="18" customHeight="1">
      <c r="A24" s="811" t="inlineStr">
        <is>
          <t>Card ID</t>
        </is>
      </c>
      <c r="B24" s="811" t="inlineStr">
        <is>
          <t>Qty</t>
        </is>
      </c>
      <c r="C24" s="811" t="inlineStr">
        <is>
          <t>Zone</t>
        </is>
      </c>
      <c r="D24" s="811" t="inlineStr">
        <is>
          <t>Name</t>
        </is>
      </c>
      <c r="E24" s="811" t="inlineStr">
        <is>
          <t>Domain</t>
        </is>
      </c>
      <c r="F24" s="811" t="inlineStr">
        <is>
          <t>Cost</t>
        </is>
      </c>
      <c r="G24" s="811" t="inlineStr">
        <is>
          <t>Might</t>
        </is>
      </c>
      <c r="H24" s="811" t="inlineStr">
        <is>
          <t>Notes</t>
        </is>
      </c>
    </row>
    <row r="25" ht="32" customHeight="1">
      <c r="A25" s="722" t="inlineStr">
        <is>
          <t>OGN-267</t>
        </is>
      </c>
      <c r="B25" s="722" t="inlineStr">
        <is>
          <t>x1</t>
        </is>
      </c>
      <c r="C25" s="724" t="inlineStr">
        <is>
          <t>Legend Zone</t>
        </is>
      </c>
      <c r="D25" s="724" t="inlineStr">
        <is>
          <t>Miss Fortune - Bounty Hunter</t>
        </is>
      </c>
      <c r="E25" s="723" t="inlineStr">
        <is>
          <t>Body;Chaos</t>
        </is>
      </c>
      <c r="F25" s="725" t="inlineStr">
        <is>
          <t>0</t>
        </is>
      </c>
      <c r="G25" s="725" t="inlineStr">
        <is>
          <t>0</t>
        </is>
      </c>
      <c r="H25" s="173" t="inlineStr">
        <is>
          <t>Miss Fortune - Bounty Hunter. Exhaust: give a unit GANKING this turn. FREE — no rune cost. Use every turn on your Trinity Force carrier.</t>
        </is>
      </c>
    </row>
    <row r="26" ht="32" customHeight="1">
      <c r="A26" s="735" t="inlineStr">
        <is>
          <t>OGN-193</t>
        </is>
      </c>
      <c r="B26" s="735" t="inlineStr">
        <is>
          <t>x1</t>
        </is>
      </c>
      <c r="C26" s="736" t="inlineStr">
        <is>
          <t>Champion Zone</t>
        </is>
      </c>
      <c r="D26" s="736" t="inlineStr">
        <is>
          <t>Miss Fortune - Buccaneer</t>
        </is>
      </c>
      <c r="E26" s="737" t="inlineStr">
        <is>
          <t>Chaos</t>
        </is>
      </c>
      <c r="F26" s="738" t="inlineStr">
        <is>
          <t>4</t>
        </is>
      </c>
      <c r="G26" s="738" t="inlineStr">
        <is>
          <t>4</t>
        </is>
      </c>
      <c r="H26" s="458" t="inlineStr">
        <is>
          <t>Miss Fortune - Buccaneer. 4/4. You may play her to an open battlefield. Friendly units may be played to open battlefields. Bypasses base deployment.</t>
        </is>
      </c>
    </row>
    <row r="27" ht="4" customHeight="1">
      <c r="A27" s="672" t="inlineStr"/>
      <c r="B27" s="672" t="inlineStr"/>
      <c r="C27" s="672" t="inlineStr"/>
      <c r="D27" s="672" t="inlineStr"/>
      <c r="E27" s="672" t="inlineStr"/>
      <c r="F27" s="672" t="inlineStr"/>
      <c r="G27" s="672" t="inlineStr"/>
      <c r="H27" s="672" t="inlineStr"/>
    </row>
    <row r="28" ht="15" customHeight="1">
      <c r="A28" s="732" t="inlineStr">
        <is>
          <t>MAIN DECK — 40 Cards</t>
        </is>
      </c>
      <c r="B28" s="729" t="inlineStr"/>
      <c r="C28" s="729" t="inlineStr"/>
      <c r="D28" s="729" t="inlineStr"/>
      <c r="E28" s="729" t="inlineStr"/>
      <c r="F28" s="729" t="inlineStr"/>
      <c r="G28" s="729" t="inlineStr"/>
      <c r="H28" s="729" t="inlineStr"/>
    </row>
    <row r="29" ht="18" customHeight="1">
      <c r="A29" s="811" t="inlineStr">
        <is>
          <t>Card ID</t>
        </is>
      </c>
      <c r="B29" s="811" t="inlineStr">
        <is>
          <t>Qty</t>
        </is>
      </c>
      <c r="C29" s="811" t="inlineStr">
        <is>
          <t>Role</t>
        </is>
      </c>
      <c r="D29" s="811" t="inlineStr">
        <is>
          <t>Name</t>
        </is>
      </c>
      <c r="E29" s="811" t="inlineStr">
        <is>
          <t>Domain</t>
        </is>
      </c>
      <c r="F29" s="811" t="inlineStr">
        <is>
          <t>Cost</t>
        </is>
      </c>
      <c r="G29" s="811" t="inlineStr">
        <is>
          <t>Might</t>
        </is>
      </c>
      <c r="H29" s="811" t="inlineStr">
        <is>
          <t>Card Function</t>
        </is>
      </c>
    </row>
    <row r="30" ht="26" customHeight="1">
      <c r="A30" s="722" t="inlineStr">
        <is>
          <t>OGN-125</t>
        </is>
      </c>
      <c r="B30" s="722" t="n">
        <v>3</v>
      </c>
      <c r="C30" s="723" t="inlineStr">
        <is>
          <t>Body</t>
        </is>
      </c>
      <c r="D30" s="724" t="inlineStr">
        <is>
          <t>Bilgewater Bully</t>
        </is>
      </c>
      <c r="E30" s="725" t="inlineStr">
        <is>
          <t>Body</t>
        </is>
      </c>
      <c r="F30" s="725" t="inlineStr">
        <is>
          <t>6</t>
        </is>
      </c>
      <c r="G30" s="725" t="inlineStr">
        <is>
          <t>6</t>
        </is>
      </c>
      <c r="H30" s="173" t="inlineStr">
        <is>
          <t>Overt Op. Spell. Spend buffs to ready all units here. Surprise second attack.</t>
        </is>
      </c>
    </row>
    <row r="31" ht="26" customHeight="1">
      <c r="A31" s="722" t="inlineStr">
        <is>
          <t>OGN-136</t>
        </is>
      </c>
      <c r="B31" s="722" t="n">
        <v>2</v>
      </c>
      <c r="C31" s="723" t="inlineStr">
        <is>
          <t>Body</t>
        </is>
      </c>
      <c r="D31" s="724" t="inlineStr">
        <is>
          <t>Pit Rookie</t>
        </is>
      </c>
      <c r="E31" s="725" t="inlineStr">
        <is>
          <t>Body</t>
        </is>
      </c>
      <c r="F31" s="725" t="inlineStr">
        <is>
          <t>2</t>
        </is>
      </c>
      <c r="G31" s="725" t="inlineStr">
        <is>
          <t>2</t>
        </is>
      </c>
      <c r="H31" s="173" t="inlineStr">
        <is>
          <t>Pit Rookie. 3/3. Flexible body. Contest fields.</t>
        </is>
      </c>
    </row>
    <row r="32" ht="26" customHeight="1">
      <c r="A32" s="735" t="inlineStr">
        <is>
          <t>OGN-168</t>
        </is>
      </c>
      <c r="B32" s="735" t="n">
        <v>3</v>
      </c>
      <c r="C32" s="737" t="inlineStr">
        <is>
          <t>Body</t>
        </is>
      </c>
      <c r="D32" s="736" t="inlineStr">
        <is>
          <t>Fight or Flight</t>
        </is>
      </c>
      <c r="E32" s="738" t="inlineStr">
        <is>
          <t>Chaos</t>
        </is>
      </c>
      <c r="F32" s="738" t="inlineStr">
        <is>
          <t>2</t>
        </is>
      </c>
      <c r="G32" s="738" t="inlineStr">
        <is>
          <t>0</t>
        </is>
      </c>
      <c r="H32" s="458" t="inlineStr">
        <is>
          <t>Harpoon Squad. 4/4. When moves from bf: +2M this turn. Movement = +2M.</t>
        </is>
      </c>
    </row>
    <row r="33" ht="26" customHeight="1">
      <c r="A33" s="735" t="inlineStr">
        <is>
          <t>OGN-173</t>
        </is>
      </c>
      <c r="B33" s="735" t="n">
        <v>3</v>
      </c>
      <c r="C33" s="737" t="inlineStr">
        <is>
          <t>Movement</t>
        </is>
      </c>
      <c r="D33" s="736" t="inlineStr">
        <is>
          <t>Ride The Wind</t>
        </is>
      </c>
      <c r="E33" s="738" t="inlineStr">
        <is>
          <t>Chaos</t>
        </is>
      </c>
      <c r="F33" s="738" t="inlineStr">
        <is>
          <t>2</t>
        </is>
      </c>
      <c r="G33" s="738" t="inlineStr">
        <is>
          <t>0</t>
        </is>
      </c>
      <c r="H33" s="458" t="inlineStr">
        <is>
          <t>Ride the Wind. Move unit, ready it, give GANKING. Conquer twice in one turn. THE combo spell.</t>
        </is>
      </c>
    </row>
    <row r="34" ht="26" customHeight="1">
      <c r="A34" s="735" t="inlineStr">
        <is>
          <t>OGN-180</t>
        </is>
      </c>
      <c r="B34" s="735" t="n">
        <v>1</v>
      </c>
      <c r="C34" s="737" t="inlineStr">
        <is>
          <t>Removal</t>
        </is>
      </c>
      <c r="D34" s="736" t="inlineStr">
        <is>
          <t>Fading Memories</t>
        </is>
      </c>
      <c r="E34" s="738" t="inlineStr">
        <is>
          <t>Chaos</t>
        </is>
      </c>
      <c r="F34" s="738" t="inlineStr">
        <is>
          <t>4</t>
        </is>
      </c>
      <c r="G34" s="738" t="inlineStr">
        <is>
          <t>0</t>
        </is>
      </c>
      <c r="H34" s="458" t="inlineStr">
        <is>
          <t>Fading Memories. Give unit TEMPORARY. Dies start of their next turn. Kill big threat without combat.</t>
        </is>
      </c>
    </row>
    <row r="35" ht="26" customHeight="1">
      <c r="A35" s="735" t="inlineStr">
        <is>
          <t>OGN-193</t>
        </is>
      </c>
      <c r="B35" s="735" t="n">
        <v>3</v>
      </c>
      <c r="C35" s="737" t="inlineStr">
        <is>
          <t>Champion</t>
        </is>
      </c>
      <c r="D35" s="736" t="inlineStr">
        <is>
          <t>Miss Fortune - Buccaneer</t>
        </is>
      </c>
      <c r="E35" s="738" t="inlineStr">
        <is>
          <t>Chaos</t>
        </is>
      </c>
      <c r="F35" s="738" t="inlineStr">
        <is>
          <t>4</t>
        </is>
      </c>
      <c r="G35" s="738" t="inlineStr">
        <is>
          <t>4</t>
        </is>
      </c>
      <c r="H35" s="458" t="inlineStr">
        <is>
          <t>MF Buccaneer. 4/4. Deploy to open bf. Friendly units deploy to open bfs. Immediate field presence.</t>
        </is>
      </c>
    </row>
    <row r="36" ht="26" customHeight="1">
      <c r="A36" s="722" t="inlineStr">
        <is>
          <t>SFD-093</t>
        </is>
      </c>
      <c r="B36" s="722" t="n">
        <v>3</v>
      </c>
      <c r="C36" s="723" t="inlineStr">
        <is>
          <t>Equipment</t>
        </is>
      </c>
      <c r="D36" s="724" t="inlineStr">
        <is>
          <t>Dauntless Vanguard</t>
        </is>
      </c>
      <c r="E36" s="725" t="inlineStr">
        <is>
          <t>Body</t>
        </is>
      </c>
      <c r="F36" s="725" t="inlineStr">
        <is>
          <t>4</t>
        </is>
      </c>
      <c r="G36" s="725" t="inlineStr">
        <is>
          <t>4</t>
        </is>
      </c>
      <c r="H36" s="173" t="inlineStr">
        <is>
          <t>Strike Down. Give equipped unit damage = Might to enemy. Targeted removal from your unit.</t>
        </is>
      </c>
    </row>
    <row r="37" ht="26" customHeight="1">
      <c r="A37" s="722" t="inlineStr">
        <is>
          <t>SFD-095</t>
        </is>
      </c>
      <c r="B37" s="722" t="n">
        <v>2</v>
      </c>
      <c r="C37" s="723" t="inlineStr">
        <is>
          <t>Body</t>
        </is>
      </c>
      <c r="D37" s="724" t="inlineStr">
        <is>
          <t>Doran's Blade</t>
        </is>
      </c>
      <c r="E37" s="725" t="inlineStr">
        <is>
          <t>Body</t>
        </is>
      </c>
      <c r="F37" s="725" t="inlineStr">
        <is>
          <t>2</t>
        </is>
      </c>
      <c r="G37" s="725" t="inlineStr">
        <is>
          <t>2</t>
        </is>
      </c>
      <c r="H37" s="173" t="inlineStr">
        <is>
          <t>Doran's Blade. Equip Body. +2M base. Makes your carrier 6M minimum.</t>
        </is>
      </c>
    </row>
    <row r="38" ht="26" customHeight="1">
      <c r="A38" s="722" t="inlineStr">
        <is>
          <t>SFD-115</t>
        </is>
      </c>
      <c r="B38" s="722" t="n">
        <v>3</v>
      </c>
      <c r="C38" s="723" t="inlineStr">
        <is>
          <t>WIN CON</t>
        </is>
      </c>
      <c r="D38" s="724" t="inlineStr">
        <is>
          <t>Trinity Force</t>
        </is>
      </c>
      <c r="E38" s="725" t="inlineStr">
        <is>
          <t>Body</t>
        </is>
      </c>
      <c r="F38" s="725" t="inlineStr">
        <is>
          <t>4</t>
        </is>
      </c>
      <c r="G38" s="725" t="inlineStr">
        <is>
          <t>0</t>
        </is>
      </c>
      <c r="H38" s="173" t="inlineStr">
        <is>
          <t>Trinity Force. Equip Body. When I hold: SCORE 1 POINT. Passive scoring every turn. This is your win condition.</t>
        </is>
      </c>
    </row>
    <row r="39" ht="26" customHeight="1">
      <c r="A39" s="735" t="inlineStr">
        <is>
          <t>SFD-123</t>
        </is>
      </c>
      <c r="B39" s="735" t="n">
        <v>3</v>
      </c>
      <c r="C39" s="737" t="inlineStr">
        <is>
          <t>Body</t>
        </is>
      </c>
      <c r="D39" s="736" t="inlineStr">
        <is>
          <t>Corrupt Enforcer</t>
        </is>
      </c>
      <c r="E39" s="738" t="inlineStr">
        <is>
          <t>Chaos</t>
        </is>
      </c>
      <c r="F39" s="738" t="inlineStr">
        <is>
          <t>3</t>
        </is>
      </c>
      <c r="G39" s="738" t="inlineStr">
        <is>
          <t>4</t>
        </is>
      </c>
      <c r="H39" s="458" t="inlineStr">
        <is>
          <t>Loyal Pup. 3/3. When you defend: move Loyal Pup there. Automatic defender.</t>
        </is>
      </c>
    </row>
    <row r="40" ht="26" customHeight="1">
      <c r="A40" s="735" t="inlineStr">
        <is>
          <t>SFD-125</t>
        </is>
      </c>
      <c r="B40" s="735" t="n">
        <v>3</v>
      </c>
      <c r="C40" s="737" t="inlineStr">
        <is>
          <t>Body</t>
        </is>
      </c>
      <c r="D40" s="736" t="inlineStr">
        <is>
          <t>Fae Porter</t>
        </is>
      </c>
      <c r="E40" s="738" t="inlineStr">
        <is>
          <t>Chaos</t>
        </is>
      </c>
      <c r="F40" s="738" t="inlineStr">
        <is>
          <t>4</t>
        </is>
      </c>
      <c r="G40" s="738" t="inlineStr">
        <is>
          <t>4</t>
        </is>
      </c>
      <c r="H40" s="458" t="inlineStr">
        <is>
          <t>Anivia - Primal. 7/8. When attacks: deal 3 to ALL enemy units here. Board clear on attack.</t>
        </is>
      </c>
    </row>
    <row r="41" ht="26" customHeight="1">
      <c r="A41" s="735" t="inlineStr">
        <is>
          <t>SFD-129</t>
        </is>
      </c>
      <c r="B41" s="735" t="n">
        <v>2</v>
      </c>
      <c r="C41" s="737" t="inlineStr">
        <is>
          <t>Body</t>
        </is>
      </c>
      <c r="D41" s="736" t="inlineStr">
        <is>
          <t>Temptation</t>
        </is>
      </c>
      <c r="E41" s="738" t="inlineStr">
        <is>
          <t>Chaos</t>
        </is>
      </c>
      <c r="F41" s="738" t="inlineStr">
        <is>
          <t>2</t>
        </is>
      </c>
      <c r="G41" s="738" t="inlineStr"/>
      <c r="H41" s="458" t="inlineStr">
        <is>
          <t>Corrupt Enforcer. 3/4. Move to bf: discard 1. Win combat: draw 1. Aggressive unit.</t>
        </is>
      </c>
    </row>
    <row r="42" ht="26" customHeight="1">
      <c r="A42" s="735" t="inlineStr">
        <is>
          <t>SFD-130</t>
        </is>
      </c>
      <c r="B42" s="735" t="n">
        <v>3</v>
      </c>
      <c r="C42" s="737" t="inlineStr">
        <is>
          <t>Body</t>
        </is>
      </c>
      <c r="D42" s="736" t="inlineStr">
        <is>
          <t>Treasure Hunter</t>
        </is>
      </c>
      <c r="E42" s="738" t="inlineStr">
        <is>
          <t>Chaos</t>
        </is>
      </c>
      <c r="F42" s="738" t="inlineStr">
        <is>
          <t>2</t>
        </is>
      </c>
      <c r="G42" s="738" t="inlineStr">
        <is>
          <t>1</t>
        </is>
      </c>
      <c r="H42" s="458" t="inlineStr">
        <is>
          <t>Treasure Hunter. 2/1. When moves: play Gold token. Movement generates economy.</t>
        </is>
      </c>
    </row>
    <row r="43" ht="26" customHeight="1">
      <c r="A43" s="735" t="inlineStr">
        <is>
          <t>SFD-133</t>
        </is>
      </c>
      <c r="B43" s="735" t="n">
        <v>3</v>
      </c>
      <c r="C43" s="737" t="inlineStr">
        <is>
          <t>Equipment</t>
        </is>
      </c>
      <c r="D43" s="736" t="inlineStr">
        <is>
          <t>Boots of Swiftness</t>
        </is>
      </c>
      <c r="E43" s="738" t="inlineStr">
        <is>
          <t>Chaos</t>
        </is>
      </c>
      <c r="F43" s="738" t="inlineStr">
        <is>
          <t>3</t>
        </is>
      </c>
      <c r="G43" s="738" t="inlineStr">
        <is>
          <t>2</t>
        </is>
      </c>
      <c r="H43" s="458" t="inlineStr">
        <is>
          <t>Boots of Swiftness. Equip Chaos. GANKING. Passive GANKING without legend exhaust needed.</t>
        </is>
      </c>
    </row>
    <row r="44" ht="26" customHeight="1">
      <c r="A44" s="735" t="inlineStr">
        <is>
          <t>SFD-137</t>
        </is>
      </c>
      <c r="B44" s="735" t="n">
        <v>3</v>
      </c>
      <c r="C44" s="737" t="inlineStr">
        <is>
          <t>Movement</t>
        </is>
      </c>
      <c r="D44" s="736" t="inlineStr">
        <is>
          <t>Harpoon Squad</t>
        </is>
      </c>
      <c r="E44" s="738" t="inlineStr">
        <is>
          <t>Chaos</t>
        </is>
      </c>
      <c r="F44" s="738" t="inlineStr">
        <is>
          <t>4</t>
        </is>
      </c>
      <c r="G44" s="738" t="inlineStr">
        <is>
          <t>4</t>
        </is>
      </c>
      <c r="H44" s="458" t="inlineStr">
        <is>
          <t>Fae Dragon. 7/7. When played: buff up to 4 friendly units. Mass pump + 7M body.</t>
        </is>
      </c>
    </row>
    <row r="45" ht="16" customHeight="1">
      <c r="A45" s="816" t="inlineStr">
        <is>
          <t>TOTAL</t>
        </is>
      </c>
      <c r="B45" s="816" t="n">
        <v>40</v>
      </c>
      <c r="C45" s="729" t="inlineStr"/>
      <c r="D45" s="729" t="inlineStr"/>
      <c r="E45" s="729" t="inlineStr"/>
      <c r="F45" s="729" t="inlineStr"/>
      <c r="G45" s="729" t="inlineStr"/>
      <c r="H45" s="729" t="inlineStr"/>
    </row>
    <row r="46" ht="4" customHeight="1">
      <c r="A46" s="672" t="inlineStr"/>
      <c r="B46" s="672" t="inlineStr"/>
      <c r="C46" s="672" t="inlineStr"/>
      <c r="D46" s="672" t="inlineStr"/>
      <c r="E46" s="672" t="inlineStr"/>
      <c r="F46" s="672" t="inlineStr"/>
      <c r="G46" s="672" t="inlineStr"/>
      <c r="H46" s="672" t="inlineStr"/>
    </row>
    <row r="47" ht="16" customHeight="1">
      <c r="A47" s="739" t="inlineStr">
        <is>
          <t>RUNE DECK (12)</t>
        </is>
      </c>
      <c r="B47" s="740" t="inlineStr">
        <is>
          <t>6x Body (Orange) + 6x Chaos (Purple) — Completely clean. No overlap with Azir/Voli/Draven.</t>
        </is>
      </c>
      <c r="C47" s="741" t="inlineStr"/>
      <c r="D47" s="741" t="inlineStr"/>
      <c r="E47" s="741" t="inlineStr"/>
      <c r="F47" s="741" t="inlineStr"/>
      <c r="G47" s="741" t="inlineStr"/>
      <c r="H47" s="741" t="inlineStr"/>
    </row>
    <row r="48" ht="4" customHeight="1">
      <c r="A48" s="672" t="inlineStr"/>
      <c r="B48" s="672" t="inlineStr"/>
      <c r="C48" s="672" t="inlineStr"/>
      <c r="D48" s="672" t="inlineStr"/>
      <c r="E48" s="672" t="inlineStr"/>
      <c r="F48" s="672" t="inlineStr"/>
      <c r="G48" s="672" t="inlineStr"/>
      <c r="H48" s="672" t="inlineStr"/>
    </row>
    <row r="49" ht="15" customHeight="1">
      <c r="A49" s="732" t="inlineStr">
        <is>
          <t>SIDEBOARD — 8 Cards | G2 Designed to Flip Weak Matchups</t>
        </is>
      </c>
      <c r="B49" s="729" t="inlineStr"/>
      <c r="C49" s="729" t="inlineStr"/>
      <c r="D49" s="729" t="inlineStr"/>
      <c r="E49" s="729" t="inlineStr"/>
      <c r="F49" s="729" t="inlineStr"/>
      <c r="G49" s="729" t="inlineStr"/>
      <c r="H49" s="729" t="inlineStr"/>
    </row>
    <row r="50" ht="18" customHeight="1">
      <c r="A50" s="811" t="inlineStr">
        <is>
          <t>Card ID</t>
        </is>
      </c>
      <c r="B50" s="811" t="inlineStr">
        <is>
          <t>Qty</t>
        </is>
      </c>
      <c r="C50" s="811" t="inlineStr">
        <is>
          <t>Matchup</t>
        </is>
      </c>
      <c r="D50" s="811" t="inlineStr">
        <is>
          <t>Name</t>
        </is>
      </c>
      <c r="E50" s="811" t="inlineStr">
        <is>
          <t>Domain</t>
        </is>
      </c>
      <c r="F50" s="811" t="inlineStr">
        <is>
          <t>Cost</t>
        </is>
      </c>
      <c r="G50" s="811" t="inlineStr">
        <is>
          <t>Might</t>
        </is>
      </c>
      <c r="H50" s="811" t="inlineStr">
        <is>
          <t>G2 Plan + Swap</t>
        </is>
      </c>
    </row>
    <row r="51" ht="50" customHeight="1">
      <c r="A51" s="722" t="inlineStr">
        <is>
          <t>OGN-148</t>
        </is>
      </c>
      <c r="B51" s="722" t="n">
        <v>3</v>
      </c>
      <c r="C51" s="724" t="inlineStr">
        <is>
          <t>vs Big Units</t>
        </is>
      </c>
      <c r="D51" s="724" t="inlineStr">
        <is>
          <t>Anivia - Primal</t>
        </is>
      </c>
      <c r="E51" s="725" t="inlineStr">
        <is>
          <t>Body</t>
        </is>
      </c>
      <c r="F51" s="725" t="inlineStr">
        <is>
          <t>7</t>
        </is>
      </c>
      <c r="G51" s="725" t="inlineStr">
        <is>
          <t>8</t>
        </is>
      </c>
      <c r="H51" s="173" t="inlineStr">
        <is>
          <t>Carnivorous Snapvine. 5/4. When attacks: deal damage to ALL units at destination. Wipes grouped units. || SWAP: OUT: OGN-136 x2, SFD-129 x1 | IN: Snapvine x3</t>
        </is>
      </c>
    </row>
    <row r="52" ht="50" customHeight="1">
      <c r="A52" s="735" t="inlineStr">
        <is>
          <t>OGN-182</t>
        </is>
      </c>
      <c r="B52" s="735" t="n">
        <v>3</v>
      </c>
      <c r="C52" s="736" t="inlineStr">
        <is>
          <t>vs Control</t>
        </is>
      </c>
      <c r="D52" s="736" t="inlineStr">
        <is>
          <t>Scrapheap</t>
        </is>
      </c>
      <c r="E52" s="738" t="inlineStr">
        <is>
          <t>Chaos</t>
        </is>
      </c>
      <c r="F52" s="738" t="inlineStr">
        <is>
          <t>2</t>
        </is>
      </c>
      <c r="G52" s="738" t="inlineStr">
        <is>
          <t>0</t>
        </is>
      </c>
      <c r="H52" s="458" t="inlineStr">
        <is>
          <t>Scrapheap. Draw 1 when played/discarded/killed. Replaces itself in any situation. Never runs dry vs control. || SWAP: OUT: SFD-130 x2, OGN-125 x1 | IN: Scrapheap x3</t>
        </is>
      </c>
    </row>
    <row r="53" ht="50" customHeight="1">
      <c r="A53" s="735" t="inlineStr">
        <is>
          <t>OGN-201</t>
        </is>
      </c>
      <c r="B53" s="735" t="n">
        <v>1</v>
      </c>
      <c r="C53" s="736" t="inlineStr">
        <is>
          <t>vs Combo</t>
        </is>
      </c>
      <c r="D53" s="736" t="inlineStr">
        <is>
          <t>Invert Timelines</t>
        </is>
      </c>
      <c r="E53" s="738" t="inlineStr">
        <is>
          <t>Chaos</t>
        </is>
      </c>
      <c r="F53" s="738" t="inlineStr">
        <is>
          <t>3</t>
        </is>
      </c>
      <c r="G53" s="738" t="inlineStr">
        <is>
          <t>0</t>
        </is>
      </c>
      <c r="H53" s="458" t="inlineStr">
        <is>
          <t>Invert Timelines. Each player discards hand then draws 4. When opponent has a setup hand — reset everything. || SWAP: OUT: OGN-180 x1 | IN: Invert Timelines x1</t>
        </is>
      </c>
    </row>
    <row r="54" ht="50" customHeight="1">
      <c r="A54" s="735" t="inlineStr">
        <is>
          <t>OGN-169</t>
        </is>
      </c>
      <c r="B54" s="735" t="n">
        <v>1</v>
      </c>
      <c r="C54" s="736" t="inlineStr">
        <is>
          <t>vs Big Units</t>
        </is>
      </c>
      <c r="D54" s="736" t="inlineStr">
        <is>
          <t>Gust</t>
        </is>
      </c>
      <c r="E54" s="738" t="inlineStr">
        <is>
          <t>Chaos</t>
        </is>
      </c>
      <c r="F54" s="738" t="inlineStr">
        <is>
          <t>1</t>
        </is>
      </c>
      <c r="G54" s="738" t="inlineStr">
        <is>
          <t>0</t>
        </is>
      </c>
      <c r="H54" s="458" t="inlineStr">
        <is>
          <t>Gust. Reaction. Return unit 3M or less to hand. Bounce small blockers out of the way for Trinity to conquer. || SWAP: OUT: SFD-095 x1 | IN: Gust x1</t>
        </is>
      </c>
    </row>
    <row r="55" ht="4" customHeight="1">
      <c r="A55" s="672" t="inlineStr"/>
      <c r="B55" s="672" t="inlineStr"/>
      <c r="C55" s="672" t="inlineStr"/>
      <c r="D55" s="672" t="inlineStr"/>
      <c r="E55" s="672" t="inlineStr"/>
      <c r="F55" s="672" t="inlineStr"/>
      <c r="G55" s="672" t="inlineStr"/>
      <c r="H55" s="672" t="inlineStr"/>
    </row>
    <row r="56" ht="15" customHeight="1">
      <c r="A56" s="732" t="inlineStr">
        <is>
          <t>GOLDEN RULES</t>
        </is>
      </c>
      <c r="B56" s="729" t="inlineStr"/>
      <c r="C56" s="729" t="inlineStr"/>
      <c r="D56" s="729" t="inlineStr"/>
      <c r="E56" s="729" t="inlineStr"/>
      <c r="F56" s="729" t="inlineStr"/>
      <c r="G56" s="729" t="inlineStr"/>
      <c r="H56" s="729" t="inlineStr"/>
    </row>
    <row r="57" ht="28" customHeight="1">
      <c r="A57" s="707" t="inlineStr">
        <is>
          <t>1</t>
        </is>
      </c>
      <c r="B57" s="97" t="inlineStr">
        <is>
          <t>Trinity Force is your win condition. Equip it ASAP on your strongest unit. Hold a field with that unit every turn. Score 1 free point every turn just from existing.</t>
        </is>
      </c>
      <c r="C57" s="774" t="inlineStr"/>
      <c r="D57" s="774" t="inlineStr"/>
      <c r="E57" s="774" t="inlineStr"/>
      <c r="F57" s="774" t="inlineStr"/>
      <c r="G57" s="774" t="inlineStr"/>
      <c r="H57" s="774" t="inlineStr"/>
    </row>
    <row r="58" ht="28" customHeight="1">
      <c r="A58" s="709" t="inlineStr">
        <is>
          <t>2</t>
        </is>
      </c>
      <c r="B58" s="101" t="inlineStr">
        <is>
          <t>MF legend exhaust is FREE — no rune cost. Give a unit GANKING every single turn. Always target your Trinity carrier. It scores passively AND can move aggressively.</t>
        </is>
      </c>
      <c r="C58" s="710" t="inlineStr"/>
      <c r="D58" s="710" t="inlineStr"/>
      <c r="E58" s="710" t="inlineStr"/>
      <c r="F58" s="710" t="inlineStr"/>
      <c r="G58" s="710" t="inlineStr"/>
      <c r="H58" s="710" t="inlineStr"/>
    </row>
    <row r="59" ht="28" customHeight="1">
      <c r="A59" s="707" t="inlineStr">
        <is>
          <t>3</t>
        </is>
      </c>
      <c r="B59" s="97" t="inlineStr">
        <is>
          <t>Ride the Wind combo: Trinity carrier conquers field 1. Ride the Wind readies it + gives GANKING. Conquer field 2 same turn. Score 2 conquest points + Trinity passive. 3 points one turn.</t>
        </is>
      </c>
      <c r="C59" s="774" t="inlineStr"/>
      <c r="D59" s="774" t="inlineStr"/>
      <c r="E59" s="774" t="inlineStr"/>
      <c r="F59" s="774" t="inlineStr"/>
      <c r="G59" s="774" t="inlineStr"/>
      <c r="H59" s="774" t="inlineStr"/>
    </row>
    <row r="60" ht="28" customHeight="1">
      <c r="A60" s="709" t="inlineStr">
        <is>
          <t>4</t>
        </is>
      </c>
      <c r="B60" s="101" t="inlineStr">
        <is>
          <t>MF Buccaneer champion: deploy her directly to an open field without going through base. Play other units to open fields the same way. Instant field presence.</t>
        </is>
      </c>
      <c r="C60" s="710" t="inlineStr"/>
      <c r="D60" s="710" t="inlineStr"/>
      <c r="E60" s="710" t="inlineStr"/>
      <c r="F60" s="710" t="inlineStr"/>
      <c r="G60" s="710" t="inlineStr"/>
      <c r="H60" s="710" t="inlineStr"/>
    </row>
    <row r="61" ht="28" customHeight="1">
      <c r="A61" s="707" t="inlineStr">
        <is>
          <t>5</t>
        </is>
      </c>
      <c r="B61" s="97" t="inlineStr">
        <is>
          <t>Boots of Swiftness on Trinity carrier = permanent GANKING without spending legend exhaust. Free up your legend exhaust for another unit.</t>
        </is>
      </c>
      <c r="C61" s="774" t="inlineStr"/>
      <c r="D61" s="774" t="inlineStr"/>
      <c r="E61" s="774" t="inlineStr"/>
      <c r="F61" s="774" t="inlineStr"/>
      <c r="G61" s="774" t="inlineStr"/>
      <c r="H61" s="774" t="inlineStr"/>
    </row>
    <row r="62" ht="28" customHeight="1">
      <c r="A62" s="709" t="inlineStr">
        <is>
          <t>6</t>
        </is>
      </c>
      <c r="B62" s="101" t="inlineStr">
        <is>
          <t>Fading Memories kills any unit without fighting it. Give opponent's 9M dragon Temporary. It dies start of their turn. No combat needed.</t>
        </is>
      </c>
      <c r="C62" s="710" t="inlineStr"/>
      <c r="D62" s="710" t="inlineStr"/>
      <c r="E62" s="710" t="inlineStr"/>
      <c r="F62" s="710" t="inlineStr"/>
      <c r="G62" s="710" t="inlineStr"/>
      <c r="H62" s="710" t="inlineStr"/>
    </row>
    <row r="63" ht="28" customHeight="1">
      <c r="A63" s="707" t="inlineStr">
        <is>
          <t>7</t>
        </is>
      </c>
      <c r="B63" s="97" t="inlineStr">
        <is>
          <t>Overt Op: spend all your unit buffs to ready all units here. After conquering a field, ready everything = attack again. Double conquest available every turn with buffs.</t>
        </is>
      </c>
      <c r="C63" s="774" t="inlineStr"/>
      <c r="D63" s="774" t="inlineStr"/>
      <c r="E63" s="774" t="inlineStr"/>
      <c r="F63" s="774" t="inlineStr"/>
      <c r="G63" s="774" t="inlineStr"/>
      <c r="H63" s="774" t="inlineStr"/>
    </row>
    <row r="64" ht="28" customHeight="1">
      <c r="A64" s="709" t="inlineStr">
        <is>
          <t>8</t>
        </is>
      </c>
      <c r="B64" s="101" t="inlineStr">
        <is>
          <t>G2: Scrapheap vs control decks. It draws when killed. Control decks kill your units. Every kill refills your hand. They can't attrition you out.</t>
        </is>
      </c>
      <c r="C64" s="710" t="inlineStr"/>
      <c r="D64" s="710" t="inlineStr"/>
      <c r="E64" s="710" t="inlineStr"/>
      <c r="F64" s="710" t="inlineStr"/>
      <c r="G64" s="710" t="inlineStr"/>
      <c r="H64" s="710"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7"/>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8" customWidth="1" min="8" max="8"/>
  </cols>
  <sheetData>
    <row r="1" ht="24" customHeight="1">
      <c r="A1" s="742" t="inlineStr">
        <is>
          <t>DRAVEN — GLORIOUS EXECUTIONER | Fury+Chaos | Resource Domination | 40 Cards</t>
        </is>
      </c>
      <c r="B1" s="743" t="inlineStr"/>
      <c r="C1" s="743" t="inlineStr"/>
      <c r="D1" s="743" t="inlineStr"/>
      <c r="E1" s="743" t="inlineStr"/>
      <c r="F1" s="743" t="inlineStr"/>
      <c r="G1" s="743" t="inlineStr"/>
      <c r="H1" s="743" t="inlineStr"/>
    </row>
    <row r="2" ht="55" customHeight="1">
      <c r="A2" s="626" t="inlineStr">
        <is>
          <t>STRATEGY — RESOURCE DOMINATION: Win every combat. Every win draws a card AND makes a Gold token. Opponent runs out of cards by turn 5. You have 8. Chemtech Enforcer attacks as 4M on turn 2 — nothing blocks it profitably. It discards Flame Chompers on play — Chompers comes back for 1 Fury. Two bodies one cost. Both win. Draw twice. Raging Soul gets discarded by Chemtech = free 5M ASSAULT+GANKING unit. Brynhir Thundersong turn 5: opponents CANNOT PLAY CARDS. Attack everything. No reactions. Maximum draws. Minotaur Reckoner: units cannot retreat to base. Opponent's units fight. They lose.</t>
        </is>
      </c>
      <c r="B2" s="744" t="inlineStr"/>
      <c r="C2" s="744" t="inlineStr"/>
      <c r="D2" s="744" t="inlineStr"/>
      <c r="E2" s="744" t="inlineStr"/>
      <c r="F2" s="744" t="inlineStr"/>
      <c r="G2" s="744" t="inlineStr"/>
      <c r="H2" s="744" t="inlineStr"/>
    </row>
    <row r="3" ht="4" customHeight="1">
      <c r="A3" s="672" t="inlineStr"/>
      <c r="B3" s="672" t="inlineStr"/>
      <c r="C3" s="672" t="inlineStr"/>
      <c r="D3" s="672" t="inlineStr"/>
      <c r="E3" s="672" t="inlineStr"/>
      <c r="F3" s="672" t="inlineStr"/>
      <c r="G3" s="672" t="inlineStr"/>
      <c r="H3" s="672" t="inlineStr"/>
    </row>
    <row r="4" ht="15" customHeight="1">
      <c r="A4" s="745" t="inlineStr">
        <is>
          <t>MATCHUP ANALYSIS — G1 Card-Based Estimates</t>
        </is>
      </c>
      <c r="B4" s="743" t="inlineStr"/>
      <c r="C4" s="743" t="inlineStr"/>
      <c r="D4" s="743" t="inlineStr"/>
      <c r="E4" s="743" t="inlineStr"/>
      <c r="F4" s="743" t="inlineStr"/>
      <c r="G4" s="743" t="inlineStr"/>
      <c r="H4" s="743" t="inlineStr"/>
    </row>
    <row r="5" ht="18" customHeight="1">
      <c r="A5" s="811" t="inlineStr">
        <is>
          <t>Matchup</t>
        </is>
      </c>
      <c r="B5" s="811" t="inlineStr">
        <is>
          <t>Win Rate G1</t>
        </is>
      </c>
      <c r="C5" s="811" t="inlineStr">
        <is>
          <t>Result</t>
        </is>
      </c>
      <c r="D5" s="811" t="inlineStr"/>
      <c r="E5" s="811" t="inlineStr"/>
      <c r="F5" s="811" t="inlineStr"/>
      <c r="G5" s="811" t="inlineStr"/>
      <c r="H5" s="811" t="inlineStr">
        <is>
          <t>Card-Based Analysis</t>
        </is>
      </c>
    </row>
    <row r="6" ht="30" customHeight="1">
      <c r="A6" s="675" t="inlineStr">
        <is>
          <t>vs Draven (meta)</t>
        </is>
      </c>
      <c r="B6" s="676" t="inlineStr">
        <is>
          <t>48%</t>
        </is>
      </c>
      <c r="C6" s="676" t="inlineStr">
        <is>
          <t>✗ SB NEEDED</t>
        </is>
      </c>
      <c r="D6" s="677" t="inlineStr"/>
      <c r="E6" s="677" t="inlineStr"/>
      <c r="F6" s="677" t="inlineStr"/>
      <c r="G6" s="677" t="inlineStr"/>
      <c r="H6" s="111" t="inlineStr">
        <is>
          <t>ASSAULT flood eats weak units. Draven draws every combat win. You must answer his combat pump spells or he runs away on cards.</t>
        </is>
      </c>
    </row>
    <row r="7" ht="30" customHeight="1">
      <c r="A7" s="678" t="inlineStr">
        <is>
          <t>vs Irelia (meta)</t>
        </is>
      </c>
      <c r="B7" s="679" t="inlineStr">
        <is>
          <t>72%</t>
        </is>
      </c>
      <c r="C7" s="679" t="inlineStr">
        <is>
          <t>✓ STRONG</t>
        </is>
      </c>
      <c r="D7" s="680" t="inlineStr"/>
      <c r="E7" s="680" t="inlineStr"/>
      <c r="F7" s="680" t="inlineStr"/>
      <c r="G7" s="680" t="inlineStr"/>
      <c r="H7" s="112" t="inlineStr">
        <is>
          <t>She protects one unit and double-conquers. Your deck floods 2+ units at fields she can only cover one of. She can't be everywhere.</t>
        </is>
      </c>
    </row>
    <row r="8" ht="30" customHeight="1">
      <c r="A8" s="678" t="inlineStr">
        <is>
          <t>vs Ezreal (meta)</t>
        </is>
      </c>
      <c r="B8" s="679" t="inlineStr">
        <is>
          <t>68%</t>
        </is>
      </c>
      <c r="C8" s="679" t="inlineStr">
        <is>
          <t>✓ STRONG</t>
        </is>
      </c>
      <c r="D8" s="680" t="inlineStr"/>
      <c r="E8" s="680" t="inlineStr"/>
      <c r="F8" s="680" t="inlineStr"/>
      <c r="G8" s="680" t="inlineStr"/>
      <c r="H8" s="112" t="inlineStr">
        <is>
          <t>Reactive draw engine. He needs to target your units twice per turn to draw. Play proactively, he can't keep up with your board pressure.</t>
        </is>
      </c>
    </row>
    <row r="9" ht="30" customHeight="1">
      <c r="A9" s="678" t="inlineStr">
        <is>
          <t>vs Azir (ours)</t>
        </is>
      </c>
      <c r="B9" s="679" t="inlineStr">
        <is>
          <t>70%</t>
        </is>
      </c>
      <c r="C9" s="679" t="inlineStr">
        <is>
          <t>✓ STRONG</t>
        </is>
      </c>
      <c r="D9" s="680" t="inlineStr"/>
      <c r="E9" s="680" t="inlineStr"/>
      <c r="F9" s="680" t="inlineStr"/>
      <c r="G9" s="680" t="inlineStr"/>
      <c r="H9" s="112" t="inlineStr">
        <is>
          <t>Token flood hits both fields with 2M soldiers. ASSAULT units beat tokens. Token decks struggle vs single high-M units. Dependent on matchup speed.</t>
        </is>
      </c>
    </row>
    <row r="10" ht="30" customHeight="1">
      <c r="A10" s="675" t="inlineStr">
        <is>
          <t>vs Volibear (ours)</t>
        </is>
      </c>
      <c r="B10" s="676" t="inlineStr">
        <is>
          <t>38%</t>
        </is>
      </c>
      <c r="C10" s="676" t="inlineStr">
        <is>
          <t>✗ SB NEEDED</t>
        </is>
      </c>
      <c r="D10" s="677" t="inlineStr"/>
      <c r="E10" s="677" t="inlineStr"/>
      <c r="F10" s="677" t="inlineStr"/>
      <c r="G10" s="677" t="inlineStr"/>
      <c r="H10" s="111" t="inlineStr">
        <is>
          <t>Dragon is 9M. Arrives turn 6. Fast decks score 4-5pts before it lands. Slow decks fall behind waiting for ramp. G2 SB answers the dragon directly.</t>
        </is>
      </c>
    </row>
    <row r="11" ht="30" customHeight="1">
      <c r="A11" s="799" t="inlineStr">
        <is>
          <t>vs Miss Fortune (ours)</t>
        </is>
      </c>
      <c r="B11" s="802" t="inlineStr">
        <is>
          <t>58%</t>
        </is>
      </c>
      <c r="C11" s="802" t="inlineStr">
        <is>
          <t>~ CLOSE</t>
        </is>
      </c>
      <c r="D11" s="702" t="inlineStr"/>
      <c r="E11" s="702" t="inlineStr"/>
      <c r="F11" s="702" t="inlineStr"/>
      <c r="G11" s="702" t="inlineStr"/>
      <c r="H11" s="217" t="inlineStr">
        <is>
          <t>Trinity Force passive scoring competes with your win condition. Mobile units hit both fields. Whoever scores faster wins. Always close.</t>
        </is>
      </c>
    </row>
    <row r="12" ht="18" customHeight="1">
      <c r="A12" s="745" t="inlineStr">
        <is>
          <t>META AVG G1</t>
        </is>
      </c>
      <c r="B12" s="817" t="inlineStr">
        <is>
          <t>63%</t>
        </is>
      </c>
      <c r="C12" s="817" t="inlineStr">
        <is>
          <t>PASS ✓</t>
        </is>
      </c>
      <c r="D12" s="743" t="inlineStr"/>
      <c r="E12" s="743" t="inlineStr"/>
      <c r="F12" s="743" t="inlineStr"/>
      <c r="G12" s="743" t="inlineStr"/>
      <c r="H12" s="641" t="inlineStr">
        <is>
          <t>G2 SB: Sky Splitter kills dragon for 1-2 runes. Serrated Dirk + Raging Soul = 6M GANKING in mirror.</t>
        </is>
      </c>
    </row>
    <row r="13" ht="4" customHeight="1">
      <c r="A13" s="672" t="inlineStr"/>
      <c r="B13" s="672" t="inlineStr"/>
      <c r="C13" s="672" t="inlineStr"/>
      <c r="D13" s="672" t="inlineStr"/>
      <c r="E13" s="672" t="inlineStr"/>
      <c r="F13" s="672" t="inlineStr"/>
      <c r="G13" s="672" t="inlineStr"/>
      <c r="H13" s="672" t="inlineStr"/>
    </row>
    <row r="14" ht="15" customHeight="1">
      <c r="A14" s="745" t="inlineStr">
        <is>
          <t>HOW TO PLAY — A B C D E F G</t>
        </is>
      </c>
      <c r="B14" s="743" t="inlineStr"/>
      <c r="C14" s="743" t="inlineStr"/>
      <c r="D14" s="743" t="inlineStr"/>
      <c r="E14" s="743" t="inlineStr"/>
      <c r="F14" s="743" t="inlineStr"/>
      <c r="G14" s="743" t="inlineStr"/>
      <c r="H14" s="743" t="inlineStr"/>
    </row>
    <row r="15" ht="32" customHeight="1">
      <c r="A15" s="683" t="inlineStr">
        <is>
          <t>A</t>
        </is>
      </c>
      <c r="B15" s="684" t="inlineStr">
        <is>
          <t>AWAKEN</t>
        </is>
      </c>
      <c r="C15" s="685" t="inlineStr">
        <is>
          <t>Everything readies. Check hand: do you have Chemtech Enforcer? That's your turn-2 play. Always.</t>
        </is>
      </c>
      <c r="D15" s="820" t="inlineStr"/>
      <c r="E15" s="820" t="inlineStr"/>
      <c r="F15" s="820" t="inlineStr"/>
      <c r="G15" s="820" t="inlineStr"/>
      <c r="H15" s="820" t="inlineStr"/>
    </row>
    <row r="16" ht="32" customHeight="1">
      <c r="A16" s="687" t="inlineStr">
        <is>
          <t>B</t>
        </is>
      </c>
      <c r="B16" s="688" t="inlineStr">
        <is>
          <t>BEGINNING</t>
        </is>
      </c>
      <c r="C16" s="685" t="inlineStr">
        <is>
          <t>Score points. Count your cards vs opponent's. Your goal is to have more cards every single turn.</t>
        </is>
      </c>
      <c r="D16" s="820" t="inlineStr"/>
      <c r="E16" s="820" t="inlineStr"/>
      <c r="F16" s="820" t="inlineStr"/>
      <c r="G16" s="820" t="inlineStr"/>
      <c r="H16" s="820" t="inlineStr"/>
    </row>
    <row r="17" ht="32" customHeight="1">
      <c r="A17" s="689" t="inlineStr">
        <is>
          <t>C</t>
        </is>
      </c>
      <c r="B17" s="690" t="inlineStr">
        <is>
          <t>CHANNEL</t>
        </is>
      </c>
      <c r="C17" s="685" t="inlineStr">
        <is>
          <t>Draw Fury (red) and Chaos (purple) runes. Hold Blood Rush and Against the Odds as reactions — do NOT play proactively.</t>
        </is>
      </c>
      <c r="D17" s="820" t="inlineStr"/>
      <c r="E17" s="820" t="inlineStr"/>
      <c r="F17" s="820" t="inlineStr"/>
      <c r="G17" s="820" t="inlineStr"/>
      <c r="H17" s="820" t="inlineStr"/>
    </row>
    <row r="18" ht="32" customHeight="1">
      <c r="A18" s="691" t="inlineStr">
        <is>
          <t>D</t>
        </is>
      </c>
      <c r="B18" s="692" t="inlineStr">
        <is>
          <t>DRAW</t>
        </is>
      </c>
      <c r="C18" s="685" t="inlineStr">
        <is>
          <t>Draw 1. Draven legend triggers on combat WINS not upkeep. Jinx legend draws 1 if you have ≤1 card.</t>
        </is>
      </c>
      <c r="D18" s="820" t="inlineStr"/>
      <c r="E18" s="820" t="inlineStr"/>
      <c r="F18" s="820" t="inlineStr"/>
      <c r="G18" s="820" t="inlineStr"/>
      <c r="H18" s="820" t="inlineStr"/>
    </row>
    <row r="19" ht="32" customHeight="1">
      <c r="A19" s="693" t="inlineStr">
        <is>
          <t>E</t>
        </is>
      </c>
      <c r="B19" s="694" t="inlineStr">
        <is>
          <t>EXHAUST</t>
        </is>
      </c>
      <c r="C19" s="685" t="inlineStr">
        <is>
          <t>No legend exhaust needed. Save ALL runes for combat pump reactions and unit plays this turn.</t>
        </is>
      </c>
      <c r="D19" s="820" t="inlineStr"/>
      <c r="E19" s="820" t="inlineStr"/>
      <c r="F19" s="820" t="inlineStr"/>
      <c r="G19" s="820" t="inlineStr"/>
      <c r="H19" s="820" t="inlineStr"/>
    </row>
    <row r="20" ht="32" customHeight="1">
      <c r="A20" s="695" t="inlineStr">
        <is>
          <t>F</t>
        </is>
      </c>
      <c r="B20" s="784" t="inlineStr">
        <is>
          <t>FLOOD</t>
        </is>
      </c>
      <c r="C20" s="685" t="inlineStr">
        <is>
          <t>Play Chemtech Enforcer turn 2. Eager Drakehound turn 3 (enters ready). Flame Chompers: let Chemtech discard it, pay 1 Fury to play it free. Two units from one.</t>
        </is>
      </c>
      <c r="D20" s="820" t="inlineStr"/>
      <c r="E20" s="820" t="inlineStr"/>
      <c r="F20" s="820" t="inlineStr"/>
      <c r="G20" s="820" t="inlineStr"/>
      <c r="H20" s="820" t="inlineStr"/>
    </row>
    <row r="21" ht="32" customHeight="1">
      <c r="A21" s="697" t="inlineStr">
        <is>
          <t>G</t>
        </is>
      </c>
      <c r="B21" s="698" t="inlineStr">
        <is>
          <t>GO</t>
        </is>
      </c>
      <c r="C21" s="685" t="inlineStr">
        <is>
          <t>Attack with all ASSAULT units. When opponent blocks: react with Blood Rush (+ASSAULT 4) or Dangerous Duo (+2M). Your unit wins. Draven draws 1. Vanquisher makes Gold. Repeat next turn.</t>
        </is>
      </c>
      <c r="D21" s="820" t="inlineStr"/>
      <c r="E21" s="820" t="inlineStr"/>
      <c r="F21" s="820" t="inlineStr"/>
      <c r="G21" s="820" t="inlineStr"/>
      <c r="H21" s="820" t="inlineStr"/>
    </row>
    <row r="22" ht="4" customHeight="1">
      <c r="A22" s="672" t="inlineStr"/>
      <c r="B22" s="672" t="inlineStr"/>
      <c r="C22" s="672" t="inlineStr"/>
      <c r="D22" s="672" t="inlineStr"/>
      <c r="E22" s="672" t="inlineStr"/>
      <c r="F22" s="672" t="inlineStr"/>
      <c r="G22" s="672" t="inlineStr"/>
      <c r="H22" s="672" t="inlineStr"/>
    </row>
    <row r="23" ht="15" customHeight="1">
      <c r="A23" s="745" t="inlineStr">
        <is>
          <t>LEGEND + CHAMPION ZONE</t>
        </is>
      </c>
      <c r="B23" s="743" t="inlineStr"/>
      <c r="C23" s="743" t="inlineStr"/>
      <c r="D23" s="743" t="inlineStr"/>
      <c r="E23" s="743" t="inlineStr"/>
      <c r="F23" s="743" t="inlineStr"/>
      <c r="G23" s="743" t="inlineStr"/>
      <c r="H23" s="743" t="inlineStr"/>
    </row>
    <row r="24" ht="18" customHeight="1">
      <c r="A24" s="811" t="inlineStr">
        <is>
          <t>Card ID</t>
        </is>
      </c>
      <c r="B24" s="811" t="inlineStr">
        <is>
          <t>Qty</t>
        </is>
      </c>
      <c r="C24" s="811" t="inlineStr">
        <is>
          <t>Zone</t>
        </is>
      </c>
      <c r="D24" s="811" t="inlineStr">
        <is>
          <t>Name</t>
        </is>
      </c>
      <c r="E24" s="811" t="inlineStr">
        <is>
          <t>Domain</t>
        </is>
      </c>
      <c r="F24" s="811" t="inlineStr">
        <is>
          <t>Cost</t>
        </is>
      </c>
      <c r="G24" s="811" t="inlineStr">
        <is>
          <t>Might</t>
        </is>
      </c>
      <c r="H24" s="811" t="inlineStr">
        <is>
          <t>Notes</t>
        </is>
      </c>
    </row>
    <row r="25" ht="32" customHeight="1">
      <c r="A25" s="718" t="inlineStr">
        <is>
          <t>SFD-185</t>
        </is>
      </c>
      <c r="B25" s="718" t="inlineStr">
        <is>
          <t>x1</t>
        </is>
      </c>
      <c r="C25" s="719" t="inlineStr">
        <is>
          <t>Legend Zone</t>
        </is>
      </c>
      <c r="D25" s="719" t="inlineStr">
        <is>
          <t>Draven - Glorious Executioner</t>
        </is>
      </c>
      <c r="E25" s="720" t="inlineStr">
        <is>
          <t>Fury;Chaos</t>
        </is>
      </c>
      <c r="F25" s="721" t="inlineStr">
        <is>
          <t>0</t>
        </is>
      </c>
      <c r="G25" s="721" t="inlineStr">
        <is>
          <t>0</t>
        </is>
      </c>
      <c r="H25" s="222" t="inlineStr">
        <is>
          <t>Draven - Glorious Executioner. WIN a combat = draw 1. Stack with Vanquisher: win 1 combat = draw 1 + Gold token. Win 3 fights = draw 3 + 3 Gold.</t>
        </is>
      </c>
    </row>
    <row r="26" ht="32" customHeight="1">
      <c r="A26" s="718" t="inlineStr">
        <is>
          <t>SFD-020</t>
        </is>
      </c>
      <c r="B26" s="718" t="inlineStr">
        <is>
          <t>x1</t>
        </is>
      </c>
      <c r="C26" s="719" t="inlineStr">
        <is>
          <t>Champion Zone</t>
        </is>
      </c>
      <c r="D26" s="719" t="inlineStr">
        <is>
          <t>Draven - Vanquisher</t>
        </is>
      </c>
      <c r="E26" s="720" t="inlineStr">
        <is>
          <t>Fury</t>
        </is>
      </c>
      <c r="F26" s="721" t="inlineStr">
        <is>
          <t>4</t>
        </is>
      </c>
      <c r="G26" s="721" t="inlineStr">
        <is>
          <t>4</t>
        </is>
      </c>
      <c r="H26" s="222" t="inlineStr">
        <is>
          <t>Draven - Vanquisher. 4/4. WIN combat = Gold token. Pay Fury = +2M this turn. Zero buy — already owned.</t>
        </is>
      </c>
    </row>
    <row r="27" ht="4" customHeight="1">
      <c r="A27" s="672" t="inlineStr"/>
      <c r="B27" s="672" t="inlineStr"/>
      <c r="C27" s="672" t="inlineStr"/>
      <c r="D27" s="672" t="inlineStr"/>
      <c r="E27" s="672" t="inlineStr"/>
      <c r="F27" s="672" t="inlineStr"/>
      <c r="G27" s="672" t="inlineStr"/>
      <c r="H27" s="672" t="inlineStr"/>
    </row>
    <row r="28" ht="15" customHeight="1">
      <c r="A28" s="745" t="inlineStr">
        <is>
          <t>MAIN DECK — 40 Cards</t>
        </is>
      </c>
      <c r="B28" s="743" t="inlineStr"/>
      <c r="C28" s="743" t="inlineStr"/>
      <c r="D28" s="743" t="inlineStr"/>
      <c r="E28" s="743" t="inlineStr"/>
      <c r="F28" s="743" t="inlineStr"/>
      <c r="G28" s="743" t="inlineStr"/>
      <c r="H28" s="743" t="inlineStr"/>
    </row>
    <row r="29" ht="18" customHeight="1">
      <c r="A29" s="811" t="inlineStr">
        <is>
          <t>Card ID</t>
        </is>
      </c>
      <c r="B29" s="811" t="inlineStr">
        <is>
          <t>Qty</t>
        </is>
      </c>
      <c r="C29" s="811" t="inlineStr">
        <is>
          <t>Role</t>
        </is>
      </c>
      <c r="D29" s="811" t="inlineStr">
        <is>
          <t>Name</t>
        </is>
      </c>
      <c r="E29" s="811" t="inlineStr">
        <is>
          <t>Domain</t>
        </is>
      </c>
      <c r="F29" s="811" t="inlineStr">
        <is>
          <t>Cost</t>
        </is>
      </c>
      <c r="G29" s="811" t="inlineStr">
        <is>
          <t>Might</t>
        </is>
      </c>
      <c r="H29" s="811" t="inlineStr">
        <is>
          <t>Card Function</t>
        </is>
      </c>
    </row>
    <row r="30" ht="26" customHeight="1">
      <c r="A30" s="718" t="inlineStr">
        <is>
          <t>OGN-003</t>
        </is>
      </c>
      <c r="B30" s="718" t="n">
        <v>3</v>
      </c>
      <c r="C30" s="720" t="inlineStr">
        <is>
          <t>ASSAULT</t>
        </is>
      </c>
      <c r="D30" s="719" t="inlineStr">
        <is>
          <t>Chemtech Enforcer</t>
        </is>
      </c>
      <c r="E30" s="721" t="inlineStr">
        <is>
          <t>Fury</t>
        </is>
      </c>
      <c r="F30" s="721" t="inlineStr">
        <is>
          <t>2</t>
        </is>
      </c>
      <c r="G30" s="721" t="inlineStr">
        <is>
          <t>2</t>
        </is>
      </c>
      <c r="H30" s="222" t="inlineStr">
        <is>
          <t>Chemtech Enforcer. 2/2. ASSAULT 2 = 4M attacker. Discards 1 = activates Raging Soul + Flame Chompers. Best turn-2 play.</t>
        </is>
      </c>
    </row>
    <row r="31" ht="26" customHeight="1">
      <c r="A31" s="718" t="inlineStr">
        <is>
          <t>OGN-006</t>
        </is>
      </c>
      <c r="B31" s="718" t="n">
        <v>3</v>
      </c>
      <c r="C31" s="720" t="inlineStr">
        <is>
          <t>DISCARD</t>
        </is>
      </c>
      <c r="D31" s="719" t="inlineStr">
        <is>
          <t>Flame Chompers</t>
        </is>
      </c>
      <c r="E31" s="721" t="inlineStr">
        <is>
          <t>Fury</t>
        </is>
      </c>
      <c r="F31" s="721" t="inlineStr">
        <is>
          <t>3</t>
        </is>
      </c>
      <c r="G31" s="721" t="inlineStr">
        <is>
          <t>3</t>
        </is>
      </c>
      <c r="H31" s="222" t="inlineStr">
        <is>
          <t>Flame Chompers. 3/3. DISCARD me = pay 1 Fury to play me free. Chemtech discards = two bodies one cost.</t>
        </is>
      </c>
    </row>
    <row r="32" ht="26" customHeight="1">
      <c r="A32" s="718" t="inlineStr">
        <is>
          <t>OGN-008</t>
        </is>
      </c>
      <c r="B32" s="718" t="n">
        <v>2</v>
      </c>
      <c r="C32" s="720" t="inlineStr">
        <is>
          <t>REMOVAL</t>
        </is>
      </c>
      <c r="D32" s="719" t="inlineStr">
        <is>
          <t>Get Excited!</t>
        </is>
      </c>
      <c r="E32" s="721" t="inlineStr">
        <is>
          <t>Fury</t>
        </is>
      </c>
      <c r="F32" s="721" t="inlineStr">
        <is>
          <t>2</t>
        </is>
      </c>
      <c r="G32" s="721" t="inlineStr">
        <is>
          <t>0</t>
        </is>
      </c>
      <c r="H32" s="222" t="inlineStr">
        <is>
          <t>Get Excited! Discard 1, deal its Energy cost as damage. Discard 4-cost card = 4 damage. Activates Raging Soul too.</t>
        </is>
      </c>
    </row>
    <row r="33" ht="26" customHeight="1">
      <c r="A33" s="718" t="inlineStr">
        <is>
          <t>OGN-012</t>
        </is>
      </c>
      <c r="B33" s="718" t="n">
        <v>2</v>
      </c>
      <c r="C33" s="720" t="inlineStr">
        <is>
          <t>BODY</t>
        </is>
      </c>
      <c r="D33" s="719" t="inlineStr">
        <is>
          <t>Noxus Hopeful</t>
        </is>
      </c>
      <c r="E33" s="721" t="inlineStr">
        <is>
          <t>Fury</t>
        </is>
      </c>
      <c r="F33" s="721" t="inlineStr">
        <is>
          <t>4</t>
        </is>
      </c>
      <c r="G33" s="721" t="inlineStr">
        <is>
          <t>4</t>
        </is>
      </c>
      <c r="H33" s="222" t="inlineStr">
        <is>
          <t>Noxus Hopeful. 4/4. LEGION costs 2 less if you played a card. Effectively a 2-cost 4/4. Blocks profitably.</t>
        </is>
      </c>
    </row>
    <row r="34" ht="26" customHeight="1">
      <c r="A34" s="718" t="inlineStr">
        <is>
          <t>OGN-015</t>
        </is>
      </c>
      <c r="B34" s="718" t="n">
        <v>1</v>
      </c>
      <c r="C34" s="720" t="inlineStr">
        <is>
          <t>PUMP</t>
        </is>
      </c>
      <c r="D34" s="719" t="inlineStr">
        <is>
          <t>Captain Farron</t>
        </is>
      </c>
      <c r="E34" s="721" t="inlineStr">
        <is>
          <t>Fury</t>
        </is>
      </c>
      <c r="F34" s="721" t="inlineStr">
        <is>
          <t>4</t>
        </is>
      </c>
      <c r="G34" s="721" t="inlineStr">
        <is>
          <t>5</t>
        </is>
      </c>
      <c r="H34" s="222" t="inlineStr">
        <is>
          <t>Captain Farron. 4/5. All other friendly units HERE have ASSAULT +1M. Every attacker hits harder.</t>
        </is>
      </c>
    </row>
    <row r="35" ht="26" customHeight="1">
      <c r="A35" s="718" t="inlineStr">
        <is>
          <t>OGN-016</t>
        </is>
      </c>
      <c r="B35" s="718" t="n">
        <v>3</v>
      </c>
      <c r="C35" s="720" t="inlineStr">
        <is>
          <t>PUMP</t>
        </is>
      </c>
      <c r="D35" s="719" t="inlineStr">
        <is>
          <t>Dangerous Duo</t>
        </is>
      </c>
      <c r="E35" s="721" t="inlineStr">
        <is>
          <t>Fury</t>
        </is>
      </c>
      <c r="F35" s="721" t="inlineStr">
        <is>
          <t>3</t>
        </is>
      </c>
      <c r="G35" s="721" t="inlineStr">
        <is>
          <t>3</t>
        </is>
      </c>
      <c r="H35" s="222" t="inlineStr">
        <is>
          <t>Dangerous Duo. LEGION +2M to a unit this turn. Jinx + Duo = 8M attacker. Nothing survives.</t>
        </is>
      </c>
    </row>
    <row r="36" ht="26" customHeight="1">
      <c r="A36" s="718" t="inlineStr">
        <is>
          <t>OGN-019</t>
        </is>
      </c>
      <c r="B36" s="718" t="n">
        <v>3</v>
      </c>
      <c r="C36" s="720" t="inlineStr">
        <is>
          <t>DISCARD</t>
        </is>
      </c>
      <c r="D36" s="719" t="inlineStr">
        <is>
          <t>Raging Soul</t>
        </is>
      </c>
      <c r="E36" s="721" t="inlineStr">
        <is>
          <t>Fury</t>
        </is>
      </c>
      <c r="F36" s="721" t="inlineStr">
        <is>
          <t>4</t>
        </is>
      </c>
      <c r="G36" s="721" t="inlineStr">
        <is>
          <t>4</t>
        </is>
      </c>
      <c r="H36" s="222" t="inlineStr">
        <is>
          <t>Raging Soul. 4/4. If discarded this turn = ASSAULT+GANKING = 5M attacker that moves fields. Free activation from Chemtech.</t>
        </is>
      </c>
    </row>
    <row r="37" ht="26" customHeight="1">
      <c r="A37" s="718" t="inlineStr">
        <is>
          <t>OGN-026</t>
        </is>
      </c>
      <c r="B37" s="718" t="n">
        <v>1</v>
      </c>
      <c r="C37" s="720" t="inlineStr">
        <is>
          <t>LOCK</t>
        </is>
      </c>
      <c r="D37" s="719" t="inlineStr">
        <is>
          <t>Brynhir Thundersong</t>
        </is>
      </c>
      <c r="E37" s="721" t="inlineStr">
        <is>
          <t>Fury</t>
        </is>
      </c>
      <c r="F37" s="721" t="inlineStr">
        <is>
          <t>6</t>
        </is>
      </c>
      <c r="G37" s="721" t="inlineStr">
        <is>
          <t>5</t>
        </is>
      </c>
      <c r="H37" s="222" t="inlineStr">
        <is>
          <t>Brynhir Thundersong. 6/5. When played: OPPONENTS CANNOT PLAY CARDS THIS TURN. Attack everything. No reactions. Maximum draws.</t>
        </is>
      </c>
    </row>
    <row r="38" ht="26" customHeight="1">
      <c r="A38" s="718" t="inlineStr">
        <is>
          <t>OGN-034</t>
        </is>
      </c>
      <c r="B38" s="718" t="n">
        <v>1</v>
      </c>
      <c r="C38" s="720" t="inlineStr">
        <is>
          <t>FINISHER</t>
        </is>
      </c>
      <c r="D38" s="719" t="inlineStr">
        <is>
          <t>Tryndamere - Barbarian</t>
        </is>
      </c>
      <c r="E38" s="721" t="inlineStr">
        <is>
          <t>Fury</t>
        </is>
      </c>
      <c r="F38" s="721" t="inlineStr">
        <is>
          <t>7</t>
        </is>
      </c>
      <c r="G38" s="721" t="inlineStr">
        <is>
          <t>8</t>
        </is>
      </c>
      <c r="H38" s="222" t="inlineStr">
        <is>
          <t>Tryndamere. 7/8. Conquer + deal 5+ excess damage = SCORE 1 BONUS POINT. Blood Rush makes him 11M. Excess guaranteed.</t>
        </is>
      </c>
    </row>
    <row r="39" ht="26" customHeight="1">
      <c r="A39" s="718" t="inlineStr">
        <is>
          <t>SFD-001</t>
        </is>
      </c>
      <c r="B39" s="718" t="n">
        <v>3</v>
      </c>
      <c r="C39" s="720" t="inlineStr">
        <is>
          <t>PUMP</t>
        </is>
      </c>
      <c r="D39" s="719" t="inlineStr">
        <is>
          <t>Against the Odds</t>
        </is>
      </c>
      <c r="E39" s="721" t="inlineStr">
        <is>
          <t>Fury</t>
        </is>
      </c>
      <c r="F39" s="721" t="inlineStr">
        <is>
          <t>2</t>
        </is>
      </c>
      <c r="G39" s="721" t="inlineStr">
        <is>
          <t>0</t>
        </is>
      </c>
      <c r="H39" s="222" t="inlineStr">
        <is>
          <t>Against the Odds. Reaction +2M. Draw 1 if alone. Combat reaction that replaces itself.</t>
        </is>
      </c>
    </row>
    <row r="40" ht="26" customHeight="1">
      <c r="A40" s="718" t="inlineStr">
        <is>
          <t>SFD-002</t>
        </is>
      </c>
      <c r="B40" s="718" t="n">
        <v>3</v>
      </c>
      <c r="C40" s="720" t="inlineStr">
        <is>
          <t>FINISHER</t>
        </is>
      </c>
      <c r="D40" s="719" t="inlineStr">
        <is>
          <t>Armed Assailant</t>
        </is>
      </c>
      <c r="E40" s="721" t="inlineStr">
        <is>
          <t>Fury</t>
        </is>
      </c>
      <c r="F40" s="721" t="inlineStr">
        <is>
          <t>6</t>
        </is>
      </c>
      <c r="G40" s="721" t="inlineStr">
        <is>
          <t>6</t>
        </is>
      </c>
      <c r="H40" s="222" t="inlineStr">
        <is>
          <t>Armed Assailant. 6/6. ACCELERATE enters ready. WEAPONMASTER on play. 6M ready attacker mid-game.</t>
        </is>
      </c>
    </row>
    <row r="41" ht="26" customHeight="1">
      <c r="A41" s="718" t="inlineStr">
        <is>
          <t>SFD-003</t>
        </is>
      </c>
      <c r="B41" s="718" t="n">
        <v>3</v>
      </c>
      <c r="C41" s="720" t="inlineStr">
        <is>
          <t>PUMP</t>
        </is>
      </c>
      <c r="D41" s="719" t="inlineStr">
        <is>
          <t>Blood Rush</t>
        </is>
      </c>
      <c r="E41" s="721" t="inlineStr">
        <is>
          <t>Fury</t>
        </is>
      </c>
      <c r="F41" s="721" t="inlineStr">
        <is>
          <t>1</t>
        </is>
      </c>
      <c r="G41" s="721" t="inlineStr"/>
      <c r="H41" s="222" t="inlineStr">
        <is>
          <t>Blood Rush. ASSAULT 2 this turn. REPEAT 1 = ASSAULT 4. 4M unit becomes 8M. Guaranteed win. Guaranteed draw.</t>
        </is>
      </c>
    </row>
    <row r="42" ht="26" customHeight="1">
      <c r="A42" s="718" t="inlineStr">
        <is>
          <t>SFD-006</t>
        </is>
      </c>
      <c r="B42" s="718" t="n">
        <v>3</v>
      </c>
      <c r="C42" s="720" t="inlineStr">
        <is>
          <t>ASSAULT</t>
        </is>
      </c>
      <c r="D42" s="719" t="inlineStr">
        <is>
          <t>Eager Drakehound</t>
        </is>
      </c>
      <c r="E42" s="721" t="inlineStr">
        <is>
          <t>Fury</t>
        </is>
      </c>
      <c r="F42" s="721" t="inlineStr">
        <is>
          <t>3</t>
        </is>
      </c>
      <c r="G42" s="721" t="inlineStr">
        <is>
          <t>3</t>
        </is>
      </c>
      <c r="H42" s="222" t="inlineStr">
        <is>
          <t>Eager Drakehound. 3/3. ENTERS READY. Attacks the turn played. Immediate pressure turn 3.</t>
        </is>
      </c>
    </row>
    <row r="43" ht="26" customHeight="1">
      <c r="A43" s="718" t="inlineStr">
        <is>
          <t>SFD-011</t>
        </is>
      </c>
      <c r="B43" s="718" t="n">
        <v>1</v>
      </c>
      <c r="C43" s="720" t="inlineStr">
        <is>
          <t>PUMP</t>
        </is>
      </c>
      <c r="D43" s="719" t="inlineStr">
        <is>
          <t>Angle Shot</t>
        </is>
      </c>
      <c r="E43" s="721" t="inlineStr">
        <is>
          <t>Fury</t>
        </is>
      </c>
      <c r="F43" s="721" t="inlineStr">
        <is>
          <t>3</t>
        </is>
      </c>
      <c r="G43" s="721" t="inlineStr"/>
      <c r="H43" s="222" t="inlineStr">
        <is>
          <t>Angle Shot. Reaction -Might to attacker OR +Might to defender. Swings any combat in your favor.</t>
        </is>
      </c>
    </row>
    <row r="44" ht="26" customHeight="1">
      <c r="A44" s="718" t="inlineStr">
        <is>
          <t>SFD-012</t>
        </is>
      </c>
      <c r="B44" s="718" t="n">
        <v>3</v>
      </c>
      <c r="C44" s="720" t="inlineStr">
        <is>
          <t>FINISHER</t>
        </is>
      </c>
      <c r="D44" s="719" t="inlineStr">
        <is>
          <t>Battering Ram</t>
        </is>
      </c>
      <c r="E44" s="721" t="inlineStr">
        <is>
          <t>Fury</t>
        </is>
      </c>
      <c r="F44" s="721" t="inlineStr">
        <is>
          <t>5</t>
        </is>
      </c>
      <c r="G44" s="721" t="inlineStr">
        <is>
          <t>5</t>
        </is>
      </c>
      <c r="H44" s="222" t="inlineStr">
        <is>
          <t>Battering Ram. 5/5. Costs 1 less per card played this turn. Play 4 cards first = Ram costs 1. Massive tempo.</t>
        </is>
      </c>
    </row>
    <row r="45" ht="26" customHeight="1">
      <c r="A45" s="718" t="inlineStr">
        <is>
          <t>SFD-013</t>
        </is>
      </c>
      <c r="B45" s="718" t="n">
        <v>2</v>
      </c>
      <c r="C45" s="720" t="inlineStr">
        <is>
          <t>BODY</t>
        </is>
      </c>
      <c r="D45" s="719" t="inlineStr">
        <is>
          <t>Blast Corps Cadet</t>
        </is>
      </c>
      <c r="E45" s="721" t="inlineStr">
        <is>
          <t>Fury</t>
        </is>
      </c>
      <c r="F45" s="721" t="inlineStr">
        <is>
          <t>2</t>
        </is>
      </c>
      <c r="G45" s="721" t="inlineStr">
        <is>
          <t>2</t>
        </is>
      </c>
      <c r="H45" s="222" t="inlineStr">
        <is>
          <t>Blast Corps Cadet. 2/2. Pay Fury extra = enters ready. On play: draw 1. Body + draw + attacks immediately.</t>
        </is>
      </c>
    </row>
    <row r="46" ht="26" customHeight="1">
      <c r="A46" s="718" t="inlineStr">
        <is>
          <t>SFD-014</t>
        </is>
      </c>
      <c r="B46" s="718" t="n">
        <v>3</v>
      </c>
      <c r="C46" s="720" t="inlineStr">
        <is>
          <t>LOCK</t>
        </is>
      </c>
      <c r="D46" s="719" t="inlineStr">
        <is>
          <t>Minotaur Reckoner</t>
        </is>
      </c>
      <c r="E46" s="721" t="inlineStr">
        <is>
          <t>Fury</t>
        </is>
      </c>
      <c r="F46" s="721" t="inlineStr">
        <is>
          <t>5</t>
        </is>
      </c>
      <c r="G46" s="721" t="inlineStr">
        <is>
          <t>5</t>
        </is>
      </c>
      <c r="H46" s="222" t="inlineStr">
        <is>
          <t>Minotaur Reckoner. 5/5. UNITS CANNOT MOVE TO BASE. Opponent trapped. They fight. They lose.</t>
        </is>
      </c>
    </row>
    <row r="47" ht="16" customHeight="1">
      <c r="A47" s="817" t="inlineStr">
        <is>
          <t>TOTAL</t>
        </is>
      </c>
      <c r="B47" s="817" t="n">
        <v>40</v>
      </c>
      <c r="C47" s="743" t="inlineStr"/>
      <c r="D47" s="743" t="inlineStr"/>
      <c r="E47" s="743" t="inlineStr"/>
      <c r="F47" s="743" t="inlineStr"/>
      <c r="G47" s="743" t="inlineStr"/>
      <c r="H47" s="743" t="inlineStr"/>
    </row>
    <row r="48" ht="4" customHeight="1">
      <c r="A48" s="672" t="inlineStr"/>
      <c r="B48" s="672" t="inlineStr"/>
      <c r="C48" s="672" t="inlineStr"/>
      <c r="D48" s="672" t="inlineStr"/>
      <c r="E48" s="672" t="inlineStr"/>
      <c r="F48" s="672" t="inlineStr"/>
      <c r="G48" s="672" t="inlineStr"/>
      <c r="H48" s="672" t="inlineStr"/>
    </row>
    <row r="49" ht="16" customHeight="1">
      <c r="A49" s="747" t="inlineStr">
        <is>
          <t>RUNE DECK (12)</t>
        </is>
      </c>
      <c r="B49" s="642" t="inlineStr">
        <is>
          <t>6x Fury (Red) + 6x Chaos (Purple) — Completely clean. No overlap with Azir/Voli/MF.</t>
        </is>
      </c>
      <c r="C49" s="748" t="inlineStr"/>
      <c r="D49" s="748" t="inlineStr"/>
      <c r="E49" s="748" t="inlineStr"/>
      <c r="F49" s="748" t="inlineStr"/>
      <c r="G49" s="748" t="inlineStr"/>
      <c r="H49" s="748" t="inlineStr"/>
    </row>
    <row r="50" ht="4" customHeight="1">
      <c r="A50" s="672" t="inlineStr"/>
      <c r="B50" s="672" t="inlineStr"/>
      <c r="C50" s="672" t="inlineStr"/>
      <c r="D50" s="672" t="inlineStr"/>
      <c r="E50" s="672" t="inlineStr"/>
      <c r="F50" s="672" t="inlineStr"/>
      <c r="G50" s="672" t="inlineStr"/>
      <c r="H50" s="672" t="inlineStr"/>
    </row>
    <row r="51" ht="15" customHeight="1">
      <c r="A51" s="745" t="inlineStr">
        <is>
          <t>SIDEBOARD — 8 Cards | G2 Designed to Flip Weak Matchups</t>
        </is>
      </c>
      <c r="B51" s="743" t="inlineStr"/>
      <c r="C51" s="743" t="inlineStr"/>
      <c r="D51" s="743" t="inlineStr"/>
      <c r="E51" s="743" t="inlineStr"/>
      <c r="F51" s="743" t="inlineStr"/>
      <c r="G51" s="743" t="inlineStr"/>
      <c r="H51" s="743" t="inlineStr"/>
    </row>
    <row r="52" ht="18" customHeight="1">
      <c r="A52" s="811" t="inlineStr">
        <is>
          <t>Card ID</t>
        </is>
      </c>
      <c r="B52" s="811" t="inlineStr">
        <is>
          <t>Qty</t>
        </is>
      </c>
      <c r="C52" s="811" t="inlineStr">
        <is>
          <t>Matchup</t>
        </is>
      </c>
      <c r="D52" s="811" t="inlineStr">
        <is>
          <t>Name</t>
        </is>
      </c>
      <c r="E52" s="811" t="inlineStr">
        <is>
          <t>Domain</t>
        </is>
      </c>
      <c r="F52" s="811" t="inlineStr">
        <is>
          <t>Cost</t>
        </is>
      </c>
      <c r="G52" s="811" t="inlineStr">
        <is>
          <t>Might</t>
        </is>
      </c>
      <c r="H52" s="811" t="inlineStr">
        <is>
          <t>G2 Plan + Swap</t>
        </is>
      </c>
    </row>
    <row r="53" ht="50" customHeight="1">
      <c r="A53" s="718" t="inlineStr">
        <is>
          <t>OGN-002</t>
        </is>
      </c>
      <c r="B53" s="718" t="n">
        <v>1</v>
      </c>
      <c r="C53" s="719" t="inlineStr">
        <is>
          <t>vs Miss Fortune</t>
        </is>
      </c>
      <c r="D53" s="719" t="inlineStr">
        <is>
          <t>Brazen Buccaneer</t>
        </is>
      </c>
      <c r="E53" s="721" t="inlineStr">
        <is>
          <t>Fury</t>
        </is>
      </c>
      <c r="F53" s="721" t="inlineStr">
        <is>
          <t>6</t>
        </is>
      </c>
      <c r="G53" s="721" t="inlineStr">
        <is>
          <t>5</t>
        </is>
      </c>
      <c r="H53" s="222" t="inlineStr">
        <is>
          <t>Brazen Buccaneer. 6/5. Discard = costs 2 less = 4 cost 6/5. Discard activates Raging Soul simultaneously. Play 4-cost 6/5 + free 5M GANKING at same time. || SWAP: OUT: OGN-008 x1 | IN: Brazen Buccaneer x1</t>
        </is>
      </c>
    </row>
    <row r="54" ht="50" customHeight="1">
      <c r="A54" s="718" t="inlineStr">
        <is>
          <t>OGN-014</t>
        </is>
      </c>
      <c r="B54" s="718" t="n">
        <v>2</v>
      </c>
      <c r="C54" s="719" t="inlineStr">
        <is>
          <t>vs Volibear</t>
        </is>
      </c>
      <c r="D54" s="719" t="inlineStr">
        <is>
          <t>Sky Splitter</t>
        </is>
      </c>
      <c r="E54" s="721" t="inlineStr">
        <is>
          <t>Fury</t>
        </is>
      </c>
      <c r="F54" s="721" t="inlineStr">
        <is>
          <t>8</t>
        </is>
      </c>
      <c r="G54" s="721" t="inlineStr">
        <is>
          <t>0</t>
        </is>
      </c>
      <c r="H54" s="222" t="inlineStr">
        <is>
          <t>Sky Splitter. Costs 8 minus your biggest unit's Might. Armed Assailant is 6M = Sky Splitter costs 2. Deals 5 damage. Kills 9M dragon for 2 runes. Game changes. || SWAP: OUT: OGN-012 x2 | IN: Sky Splitter x2</t>
        </is>
      </c>
    </row>
    <row r="55" ht="50" customHeight="1">
      <c r="A55" s="735" t="inlineStr">
        <is>
          <t>OGN-180</t>
        </is>
      </c>
      <c r="B55" s="735" t="n">
        <v>1</v>
      </c>
      <c r="C55" s="736" t="inlineStr">
        <is>
          <t>vs Volibear</t>
        </is>
      </c>
      <c r="D55" s="736" t="inlineStr">
        <is>
          <t>Fading Memories</t>
        </is>
      </c>
      <c r="E55" s="738" t="inlineStr">
        <is>
          <t>Chaos</t>
        </is>
      </c>
      <c r="F55" s="738" t="inlineStr">
        <is>
          <t>4</t>
        </is>
      </c>
      <c r="G55" s="738" t="inlineStr">
        <is>
          <t>0</t>
        </is>
      </c>
      <c r="H55" s="458" t="inlineStr">
        <is>
          <t>Fading Memories. Give dragon TEMPORARY. It dies start of their next turn. No combat needed. Dragon gone. || SWAP: OUT: SFD-011 x1 | IN: Fading Memories x1</t>
        </is>
      </c>
    </row>
    <row r="56" ht="50" customHeight="1">
      <c r="A56" s="735" t="inlineStr">
        <is>
          <t>OGN-185</t>
        </is>
      </c>
      <c r="B56" s="735" t="n">
        <v>2</v>
      </c>
      <c r="C56" s="736" t="inlineStr">
        <is>
          <t>vs Mirror</t>
        </is>
      </c>
      <c r="D56" s="736" t="inlineStr">
        <is>
          <t>Traveling Merchant</t>
        </is>
      </c>
      <c r="E56" s="738" t="inlineStr">
        <is>
          <t>Chaos</t>
        </is>
      </c>
      <c r="F56" s="738" t="inlineStr">
        <is>
          <t>2</t>
        </is>
      </c>
      <c r="G56" s="738" t="inlineStr">
        <is>
          <t>2</t>
        </is>
      </c>
      <c r="H56" s="458" t="inlineStr">
        <is>
          <t>Traveling Merchant. 2/2. When moves: discard 1 draw 1. Movement = draw. Discard activates Raging Soul. More cards than mirror opponent. || SWAP: OUT: SFD-013 x2 | IN: Traveling Merchant x2</t>
        </is>
      </c>
    </row>
    <row r="57" ht="50" customHeight="1">
      <c r="A57" s="718" t="inlineStr">
        <is>
          <t>SFD-009</t>
        </is>
      </c>
      <c r="B57" s="718" t="n">
        <v>2</v>
      </c>
      <c r="C57" s="719" t="inlineStr">
        <is>
          <t>vs Mirror</t>
        </is>
      </c>
      <c r="D57" s="719" t="inlineStr">
        <is>
          <t>Serrated Dirk</t>
        </is>
      </c>
      <c r="E57" s="721" t="inlineStr">
        <is>
          <t>Fury</t>
        </is>
      </c>
      <c r="F57" s="721" t="inlineStr">
        <is>
          <t>1</t>
        </is>
      </c>
      <c r="G57" s="721" t="inlineStr"/>
      <c r="H57" s="222" t="inlineStr">
        <is>
          <t>Serrated Dirk. Equip Fury. ASSAULT 2. On Raging Soul (4/4): Soul attacks as 6M with GANKING. Hits both fields. Mirror opponent can't match a 6M GANKING unit. || SWAP: OUT: SFD-012 x1, SFD-006 x1 | IN: Serrated Dirk x2</t>
        </is>
      </c>
    </row>
    <row r="58" ht="4" customHeight="1">
      <c r="A58" s="672" t="inlineStr"/>
      <c r="B58" s="672" t="inlineStr"/>
      <c r="C58" s="672" t="inlineStr"/>
      <c r="D58" s="672" t="inlineStr"/>
      <c r="E58" s="672" t="inlineStr"/>
      <c r="F58" s="672" t="inlineStr"/>
      <c r="G58" s="672" t="inlineStr"/>
      <c r="H58" s="672" t="inlineStr"/>
    </row>
    <row r="59" ht="15" customHeight="1">
      <c r="A59" s="745" t="inlineStr">
        <is>
          <t>GOLDEN RULES</t>
        </is>
      </c>
      <c r="B59" s="743" t="inlineStr"/>
      <c r="C59" s="743" t="inlineStr"/>
      <c r="D59" s="743" t="inlineStr"/>
      <c r="E59" s="743" t="inlineStr"/>
      <c r="F59" s="743" t="inlineStr"/>
      <c r="G59" s="743" t="inlineStr"/>
      <c r="H59" s="743" t="inlineStr"/>
    </row>
    <row r="60" ht="28" customHeight="1">
      <c r="A60" s="707" t="inlineStr">
        <is>
          <t>1</t>
        </is>
      </c>
      <c r="B60" s="97" t="inlineStr">
        <is>
          <t>Chemtech Enforcer turn 2 every game. Attacks as 4M. Discards Flame Chompers = pay 1 Fury = Chompers plays free. Two bodies for 2+1 runes.</t>
        </is>
      </c>
      <c r="C60" s="774" t="inlineStr"/>
      <c r="D60" s="774" t="inlineStr"/>
      <c r="E60" s="774" t="inlineStr"/>
      <c r="F60" s="774" t="inlineStr"/>
      <c r="G60" s="774" t="inlineStr"/>
      <c r="H60" s="774" t="inlineStr"/>
    </row>
    <row r="61" ht="28" customHeight="1">
      <c r="A61" s="709" t="inlineStr">
        <is>
          <t>2</t>
        </is>
      </c>
      <c r="B61" s="101" t="inlineStr">
        <is>
          <t>HOLD Blood Rush and Against the Odds as reactions. Never play proactively. Wait until opponent commits a defender, then react. Your unit wins. Draven draws.</t>
        </is>
      </c>
      <c r="C61" s="710" t="inlineStr"/>
      <c r="D61" s="710" t="inlineStr"/>
      <c r="E61" s="710" t="inlineStr"/>
      <c r="F61" s="710" t="inlineStr"/>
      <c r="G61" s="710" t="inlineStr"/>
      <c r="H61" s="710" t="inlineStr"/>
    </row>
    <row r="62" ht="28" customHeight="1">
      <c r="A62" s="707" t="inlineStr">
        <is>
          <t>3</t>
        </is>
      </c>
      <c r="B62" s="97" t="inlineStr">
        <is>
          <t>Raging Soul only activates if discarded THIS turn. Chemtech discards it. NEVER play Raging Soul from hand — let Chemtech do it for free.</t>
        </is>
      </c>
      <c r="C62" s="774" t="inlineStr"/>
      <c r="D62" s="774" t="inlineStr"/>
      <c r="E62" s="774" t="inlineStr"/>
      <c r="F62" s="774" t="inlineStr"/>
      <c r="G62" s="774" t="inlineStr"/>
      <c r="H62" s="774" t="inlineStr"/>
    </row>
    <row r="63" ht="28" customHeight="1">
      <c r="A63" s="709" t="inlineStr">
        <is>
          <t>4</t>
        </is>
      </c>
      <c r="B63" s="101" t="inlineStr">
        <is>
          <t>Brynhir Thundersong: play him BEFORE attacking. Opponents literally cannot play any card that turn. No reactions. No blocks. Attack everything. Win everything. Draw maximum.</t>
        </is>
      </c>
      <c r="C63" s="710" t="inlineStr"/>
      <c r="D63" s="710" t="inlineStr"/>
      <c r="E63" s="710" t="inlineStr"/>
      <c r="F63" s="710" t="inlineStr"/>
      <c r="G63" s="710" t="inlineStr"/>
      <c r="H63" s="710" t="inlineStr"/>
    </row>
    <row r="64" ht="28" customHeight="1">
      <c r="A64" s="707" t="inlineStr">
        <is>
          <t>5</t>
        </is>
      </c>
      <c r="B64" s="97" t="inlineStr">
        <is>
          <t>Minotaur Reckoner: once on field, no unit can retreat to base. Play Reckoner then attack. Opponent's unit must fight. Your ASSAULT wins. They can never escape.</t>
        </is>
      </c>
      <c r="C64" s="774" t="inlineStr"/>
      <c r="D64" s="774" t="inlineStr"/>
      <c r="E64" s="774" t="inlineStr"/>
      <c r="F64" s="774" t="inlineStr"/>
      <c r="G64" s="774" t="inlineStr"/>
      <c r="H64" s="774" t="inlineStr"/>
    </row>
    <row r="65" ht="28" customHeight="1">
      <c r="A65" s="709" t="inlineStr">
        <is>
          <t>6</t>
        </is>
      </c>
      <c r="B65" s="101" t="inlineStr">
        <is>
          <t>Tryndamere + Blood Rush: Blood Rush REPEAT 1 = ASSAULT 4 on Tryndamere = attacks as 11M. Against any unit = 5+ excess damage = bonus point scored immediately on conquest.</t>
        </is>
      </c>
      <c r="C65" s="710" t="inlineStr"/>
      <c r="D65" s="710" t="inlineStr"/>
      <c r="E65" s="710" t="inlineStr"/>
      <c r="F65" s="710" t="inlineStr"/>
      <c r="G65" s="710" t="inlineStr"/>
      <c r="H65" s="710" t="inlineStr"/>
    </row>
    <row r="66" ht="28" customHeight="1">
      <c r="A66" s="707" t="inlineStr">
        <is>
          <t>7</t>
        </is>
      </c>
      <c r="B66" s="97" t="inlineStr">
        <is>
          <t>G2 vs Volibear: Sky Splitter costs 2 when Armed Assailant (6M) is on field. Deals 5 to the 9M dragon. Dragon dies. OR play Fading Memories. Dragon dies next turn without combat.</t>
        </is>
      </c>
      <c r="C66" s="774" t="inlineStr"/>
      <c r="D66" s="774" t="inlineStr"/>
      <c r="E66" s="774" t="inlineStr"/>
      <c r="F66" s="774" t="inlineStr"/>
      <c r="G66" s="774" t="inlineStr"/>
      <c r="H66" s="774" t="inlineStr"/>
    </row>
    <row r="67" ht="28" customHeight="1">
      <c r="A67" s="709" t="inlineStr">
        <is>
          <t>8</t>
        </is>
      </c>
      <c r="B67" s="101" t="inlineStr">
        <is>
          <t>G2 vs mirror: Serrated Dirk on Raging Soul = 6M ASSAULT+GANKING. Traveling Merchant moves = discard = Raging Soul activates = free 5M. Two-deck punch mirror can't answer.</t>
        </is>
      </c>
      <c r="C67" s="710" t="inlineStr"/>
      <c r="D67" s="710" t="inlineStr"/>
      <c r="E67" s="710" t="inlineStr"/>
      <c r="F67" s="710" t="inlineStr"/>
      <c r="G67" s="710" t="inlineStr"/>
      <c r="H67" s="710"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04"/>
  <sheetViews>
    <sheetView workbookViewId="0">
      <pane ySplit="4" topLeftCell="A5" activePane="bottomLeft" state="frozen"/>
      <selection pane="bottomLef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55" customWidth="1" min="10" max="10"/>
  </cols>
  <sheetData>
    <row r="1" ht="28" customHeight="1">
      <c r="A1" s="749" t="inlineStr">
        <is>
          <t>RIFTBOUND SIMULATION ENGINE — Deck Performance Matrix</t>
        </is>
      </c>
      <c r="B1" s="810" t="inlineStr"/>
      <c r="C1" s="810" t="inlineStr"/>
      <c r="D1" s="810" t="inlineStr"/>
      <c r="E1" s="810" t="inlineStr"/>
      <c r="F1" s="810" t="inlineStr"/>
      <c r="G1" s="810" t="inlineStr"/>
      <c r="H1" s="810" t="inlineStr"/>
      <c r="I1" s="810" t="inlineStr"/>
      <c r="J1" s="810" t="inlineStr"/>
    </row>
    <row r="2" ht="80" customHeight="1">
      <c r="A2" s="751" t="inlineStr">
        <is>
          <t>HOW THIS WORKS: Each matchup win rate is calculated from three inputs per deck: (1) SPEED — how many turns before your win condition is online, (2) PEAK POWER — maximum effective Might when your deck peaks, (3) CONSISTENCY — what % of games you hit your key cards by turn 5. The formula: Win Rate = 50% + Speed_Advantage×15 + Power_Advantage×20 + Consistency_Bonus×10 + Special_Mechanic_Modifier. Clipped to 5%-95%. To recalculate: change any INPUT cell (yellow background). Formulas auto-update. To test a new deck: replace a deck's inputs in its column. G2 win rates = G1 rate adjusted by sideboard effectiveness (also adjustable).</t>
        </is>
      </c>
      <c r="B2" s="752" t="inlineStr"/>
      <c r="C2" s="752" t="inlineStr"/>
      <c r="D2" s="752" t="inlineStr"/>
      <c r="E2" s="752" t="inlineStr"/>
      <c r="F2" s="752" t="inlineStr"/>
      <c r="G2" s="752" t="inlineStr"/>
      <c r="H2" s="752" t="inlineStr"/>
      <c r="I2" s="752" t="inlineStr"/>
      <c r="J2" s="752" t="inlineStr"/>
    </row>
    <row r="3" ht="6" customHeight="1">
      <c r="A3" s="794" t="inlineStr"/>
      <c r="B3" s="794" t="inlineStr"/>
      <c r="C3" s="794" t="inlineStr"/>
      <c r="D3" s="794" t="inlineStr"/>
      <c r="E3" s="794" t="inlineStr"/>
      <c r="F3" s="794" t="inlineStr"/>
      <c r="G3" s="794" t="inlineStr"/>
      <c r="H3" s="794" t="inlineStr"/>
      <c r="I3" s="794" t="inlineStr"/>
      <c r="J3" s="794" t="inlineStr"/>
    </row>
    <row r="4" ht="20" customHeight="1">
      <c r="A4" s="793" t="inlineStr">
        <is>
          <t>DECK INPUT PARAMETERS</t>
        </is>
      </c>
      <c r="B4" s="755" t="inlineStr">
        <is>
          <t>Azir</t>
        </is>
      </c>
      <c r="C4" s="756" t="inlineStr">
        <is>
          <t>Volibear</t>
        </is>
      </c>
      <c r="D4" s="757" t="inlineStr">
        <is>
          <t>Miss Fortune</t>
        </is>
      </c>
      <c r="E4" s="758" t="inlineStr">
        <is>
          <t>Draven</t>
        </is>
      </c>
      <c r="F4" s="759" t="inlineStr">
        <is>
          <t>Meta Draven</t>
        </is>
      </c>
      <c r="G4" s="759" t="inlineStr">
        <is>
          <t>Meta Irelia</t>
        </is>
      </c>
      <c r="H4" s="759" t="inlineStr">
        <is>
          <t>Meta Ezreal</t>
        </is>
      </c>
      <c r="I4" s="794" t="inlineStr"/>
      <c r="J4" s="760" t="inlineStr">
        <is>
          <t>Parameter Description</t>
        </is>
      </c>
    </row>
    <row r="5" ht="32" customHeight="1">
      <c r="A5" s="812" t="inlineStr">
        <is>
          <t>Speed (turns to win con)</t>
        </is>
      </c>
      <c r="B5" s="813" t="n">
        <v>5</v>
      </c>
      <c r="C5" s="813" t="n">
        <v>7</v>
      </c>
      <c r="D5" s="813" t="n">
        <v>5</v>
      </c>
      <c r="E5" s="813" t="n">
        <v>4</v>
      </c>
      <c r="F5" s="813" t="n">
        <v>4</v>
      </c>
      <c r="G5" s="813" t="n">
        <v>5</v>
      </c>
      <c r="H5" s="813" t="n">
        <v>6</v>
      </c>
      <c r="I5" s="763" t="inlineStr">
        <is>
          <t>← INPUT</t>
        </is>
      </c>
      <c r="J5" s="90" t="inlineStr">
        <is>
          <t>Turns until main win condition is active. Lower = faster. Azir=5 (flood), Voli=7 (ramp+dragon), MF=5 (Trinity), Draven=4 (ASSAULT+draws). Adjust if your meta plays differently.</t>
        </is>
      </c>
    </row>
    <row r="6" ht="32" customHeight="1">
      <c r="A6" s="812" t="inlineStr">
        <is>
          <t>Peak Might (avg per field)</t>
        </is>
      </c>
      <c r="B6" s="813" t="n">
        <v>4</v>
      </c>
      <c r="C6" s="813" t="n">
        <v>9</v>
      </c>
      <c r="D6" s="813" t="n">
        <v>5.5</v>
      </c>
      <c r="E6" s="813" t="n">
        <v>5.5</v>
      </c>
      <c r="F6" s="813" t="n">
        <v>5.5</v>
      </c>
      <c r="G6" s="813" t="n">
        <v>7</v>
      </c>
      <c r="H6" s="813" t="n">
        <v>4.5</v>
      </c>
      <c r="I6" s="763" t="inlineStr">
        <is>
          <t>← INPUT</t>
        </is>
      </c>
      <c r="J6" s="90" t="inlineStr">
        <is>
          <t>Maximum effective Might per field when deck peaks. Voli=9 (dragon), Irelia=7 (protected unit), Draven/MF=5.5 (ASSAULT units). This is the single most impactful number.</t>
        </is>
      </c>
    </row>
    <row r="7" ht="32" customHeight="1">
      <c r="A7" s="812" t="inlineStr">
        <is>
          <t>Consistency % (key cards T5)</t>
        </is>
      </c>
      <c r="B7" s="813" t="n">
        <v>0.72</v>
      </c>
      <c r="C7" s="813" t="n">
        <v>0.65</v>
      </c>
      <c r="D7" s="813" t="n">
        <v>0.7</v>
      </c>
      <c r="E7" s="813" t="n">
        <v>0.78</v>
      </c>
      <c r="F7" s="813" t="n">
        <v>0.75</v>
      </c>
      <c r="G7" s="813" t="n">
        <v>0.68</v>
      </c>
      <c r="H7" s="813" t="n">
        <v>0.72</v>
      </c>
      <c r="I7" s="763" t="inlineStr">
        <is>
          <t>← INPUT</t>
        </is>
      </c>
      <c r="J7" s="90" t="inlineStr">
        <is>
          <t>Probability of drawing key cards by turn 5. Draven=78% (many redundant threats). Voli=65% (needs specific combo: Firebrand+Stormbringer). Expressed as decimal.</t>
        </is>
      </c>
    </row>
    <row r="8" ht="32" customHeight="1">
      <c r="A8" s="812" t="inlineStr">
        <is>
          <t>Passive Score per turn</t>
        </is>
      </c>
      <c r="B8" s="813" t="n">
        <v>0.3</v>
      </c>
      <c r="C8" s="813" t="n">
        <v>0</v>
      </c>
      <c r="D8" s="813" t="n">
        <v>0.8</v>
      </c>
      <c r="E8" s="813" t="n">
        <v>0</v>
      </c>
      <c r="F8" s="813" t="n">
        <v>0</v>
      </c>
      <c r="G8" s="813" t="n">
        <v>0</v>
      </c>
      <c r="H8" s="813" t="n">
        <v>0.2</v>
      </c>
      <c r="I8" s="763" t="inlineStr">
        <is>
          <t>← INPUT</t>
        </is>
      </c>
      <c r="J8" s="90" t="inlineStr">
        <is>
          <t>Average extra points per turn from passive effects. Azir=0.3 (soldiers hold fields). MF=0.8 (Trinity Force scores 1pt/hold on 1-2 fields). Draven/Voli=0 (no passive).</t>
        </is>
      </c>
    </row>
    <row r="9" ht="32" customHeight="1">
      <c r="A9" s="812" t="inlineStr">
        <is>
          <t>Field coverage (0-2)</t>
        </is>
      </c>
      <c r="B9" s="813" t="n">
        <v>1.8</v>
      </c>
      <c r="C9" s="813" t="n">
        <v>1</v>
      </c>
      <c r="D9" s="813" t="n">
        <v>1.7</v>
      </c>
      <c r="E9" s="813" t="n">
        <v>1.9</v>
      </c>
      <c r="F9" s="813" t="n">
        <v>1.9</v>
      </c>
      <c r="G9" s="813" t="n">
        <v>1</v>
      </c>
      <c r="H9" s="813" t="n">
        <v>1.6</v>
      </c>
      <c r="I9" s="763" t="inlineStr">
        <is>
          <t>← INPUT</t>
        </is>
      </c>
      <c r="J9" s="90" t="inlineStr">
        <is>
          <t>Average number of fields you can meaningfully contest. Azir=1.8 (tokens everywhere). Voli=1.0 (dragon at one field). Draven=1.9 (GANKING Raging Soul). MF=1.7 (GANKING).</t>
        </is>
      </c>
    </row>
    <row r="10" ht="32" customHeight="1">
      <c r="A10" s="812" t="inlineStr">
        <is>
          <t>Removal count</t>
        </is>
      </c>
      <c r="B10" s="813" t="n">
        <v>2</v>
      </c>
      <c r="C10" s="813" t="n">
        <v>3.5</v>
      </c>
      <c r="D10" s="813" t="n">
        <v>1.5</v>
      </c>
      <c r="E10" s="813" t="n">
        <v>0.5</v>
      </c>
      <c r="F10" s="813" t="n">
        <v>0.5</v>
      </c>
      <c r="G10" s="813" t="n">
        <v>1.5</v>
      </c>
      <c r="H10" s="813" t="n">
        <v>3</v>
      </c>
      <c r="I10" s="763" t="inlineStr">
        <is>
          <t>← INPUT</t>
        </is>
      </c>
      <c r="J10" s="90" t="inlineStr">
        <is>
          <t>Effective removal spells in main deck. Voli=3.5 (Stormbringer+Confront+Void Seeker). Ezreal=3.0. Draven=0.5 (Get Excited only). Higher = better vs specific big threats.</t>
        </is>
      </c>
    </row>
    <row r="11" ht="32" customHeight="1">
      <c r="A11" s="812" t="inlineStr">
        <is>
          <t>SB effectiveness vs weak matchup</t>
        </is>
      </c>
      <c r="B11" s="813" t="n">
        <v>0.55</v>
      </c>
      <c r="C11" s="813" t="n">
        <v>0.6</v>
      </c>
      <c r="D11" s="813" t="n">
        <v>0.55</v>
      </c>
      <c r="E11" s="813" t="n">
        <v>0.65</v>
      </c>
      <c r="F11" s="813" t="n">
        <v>0.5</v>
      </c>
      <c r="G11" s="813" t="n">
        <v>0.5</v>
      </c>
      <c r="H11" s="813" t="n">
        <v>0.55</v>
      </c>
      <c r="I11" s="763" t="inlineStr">
        <is>
          <t>← INPUT</t>
        </is>
      </c>
      <c r="J11" s="90" t="inlineStr">
        <is>
          <t>How much sideboard improves the worst matchup. Expressed as final G2 win rate for that matchup. Draven SB=0.65 (Sky Splitter kills dragon). Adjust based on testing.</t>
        </is>
      </c>
    </row>
    <row r="12" ht="6" customHeight="1">
      <c r="A12" s="794" t="inlineStr"/>
      <c r="B12" s="794" t="inlineStr"/>
      <c r="C12" s="794" t="inlineStr"/>
      <c r="D12" s="794" t="inlineStr"/>
      <c r="E12" s="794" t="inlineStr"/>
      <c r="F12" s="794" t="inlineStr"/>
      <c r="G12" s="794" t="inlineStr"/>
      <c r="H12" s="794" t="inlineStr"/>
      <c r="I12" s="794" t="inlineStr"/>
      <c r="J12" s="794" t="inlineStr"/>
    </row>
    <row r="13" ht="20" customHeight="1">
      <c r="A13" s="793" t="inlineStr">
        <is>
          <t>WIN RATE FORMULA</t>
        </is>
      </c>
      <c r="B13" s="794" t="inlineStr"/>
      <c r="C13" s="794" t="inlineStr"/>
      <c r="D13" s="794" t="inlineStr"/>
      <c r="E13" s="794" t="inlineStr"/>
      <c r="F13" s="794" t="inlineStr"/>
      <c r="G13" s="794" t="inlineStr"/>
      <c r="H13" s="794" t="inlineStr"/>
      <c r="I13" s="794" t="inlineStr"/>
      <c r="J13" s="794" t="inlineStr"/>
    </row>
    <row r="14" ht="22" customHeight="1">
      <c r="A14" s="764" t="inlineStr">
        <is>
          <t>Base win rate: 50% + Speed_Adv×15 + Power_Adv×20 + Consistency_Bonus×10 + Coverage_Adv×8 + Passive_Bonus×12 + Removal_Adv×5</t>
        </is>
      </c>
      <c r="B14" s="765" t="inlineStr"/>
      <c r="C14" s="765" t="inlineStr"/>
      <c r="D14" s="765" t="inlineStr"/>
      <c r="E14" s="765" t="inlineStr"/>
      <c r="F14" s="765" t="inlineStr"/>
      <c r="G14" s="765" t="inlineStr"/>
      <c r="H14" s="765" t="inlineStr"/>
      <c r="I14" s="765" t="inlineStr"/>
      <c r="J14" s="765" t="inlineStr"/>
    </row>
    <row r="15" ht="22" customHeight="1">
      <c r="A15" s="764" t="inlineStr">
        <is>
          <t>Where: Speed_Adv = (Opponent_Speed - My_Speed) / 10   |   Power_Adv = (My_Might - Opp_Might) / My_Might   |   Consistency_Bonus = My_Consistency - 0.70</t>
        </is>
      </c>
      <c r="B15" s="765" t="inlineStr"/>
      <c r="C15" s="765" t="inlineStr"/>
      <c r="D15" s="765" t="inlineStr"/>
      <c r="E15" s="765" t="inlineStr"/>
      <c r="F15" s="765" t="inlineStr"/>
      <c r="G15" s="765" t="inlineStr"/>
      <c r="H15" s="765" t="inlineStr"/>
      <c r="I15" s="765" t="inlineStr"/>
      <c r="J15" s="765" t="inlineStr"/>
    </row>
    <row r="16" ht="22" customHeight="1">
      <c r="A16" s="764" t="inlineStr">
        <is>
          <t>Coverage_Adv = (My_Fields - Opp_Fields) / 2   |   Passive_Bonus = My_Passive × 8   |   Removal_Adv = (My_Removal - Opp_Removal) / 10   |   Clamped: MIN(95%, MAX(5%, result))</t>
        </is>
      </c>
      <c r="B16" s="765" t="inlineStr"/>
      <c r="C16" s="765" t="inlineStr"/>
      <c r="D16" s="765" t="inlineStr"/>
      <c r="E16" s="765" t="inlineStr"/>
      <c r="F16" s="765" t="inlineStr"/>
      <c r="G16" s="765" t="inlineStr"/>
      <c r="H16" s="765" t="inlineStr"/>
      <c r="I16" s="765" t="inlineStr"/>
      <c r="J16" s="765" t="inlineStr"/>
    </row>
    <row r="17" ht="6" customHeight="1">
      <c r="A17" s="794" t="inlineStr"/>
      <c r="B17" s="794" t="inlineStr"/>
      <c r="C17" s="794" t="inlineStr"/>
      <c r="D17" s="794" t="inlineStr"/>
      <c r="E17" s="794" t="inlineStr"/>
      <c r="F17" s="794" t="inlineStr"/>
      <c r="G17" s="794" t="inlineStr"/>
      <c r="H17" s="794" t="inlineStr"/>
      <c r="I17" s="794" t="inlineStr"/>
      <c r="J17" s="794" t="inlineStr"/>
    </row>
    <row r="18" ht="20" customHeight="1">
      <c r="A18" s="793" t="inlineStr">
        <is>
          <t>WIN RATE MATRIX — G1 (live formulas, updates when inputs change)</t>
        </is>
      </c>
      <c r="B18" s="794" t="inlineStr"/>
      <c r="C18" s="794" t="inlineStr"/>
      <c r="D18" s="794" t="inlineStr"/>
      <c r="E18" s="794" t="inlineStr"/>
      <c r="F18" s="794" t="inlineStr"/>
      <c r="G18" s="794" t="inlineStr"/>
      <c r="H18" s="794" t="inlineStr"/>
      <c r="I18" s="794" t="inlineStr"/>
      <c r="J18" s="794" t="inlineStr"/>
    </row>
    <row r="19" ht="18" customHeight="1">
      <c r="A19" s="766" t="inlineStr">
        <is>
          <t>My Deck → vs Opponent ↓</t>
        </is>
      </c>
      <c r="B19" s="814" t="inlineStr">
        <is>
          <t>Azir</t>
        </is>
      </c>
      <c r="C19" s="815" t="inlineStr">
        <is>
          <t>Voli</t>
        </is>
      </c>
      <c r="D19" s="816" t="inlineStr">
        <is>
          <t>MF</t>
        </is>
      </c>
      <c r="E19" s="817" t="inlineStr">
        <is>
          <t>Draven</t>
        </is>
      </c>
      <c r="I19" s="771" t="inlineStr"/>
      <c r="J19" s="766" t="inlineStr">
        <is>
          <t>Matchup Notes</t>
        </is>
      </c>
    </row>
    <row r="20" ht="28" customHeight="1">
      <c r="A20" s="772" t="inlineStr">
        <is>
          <t>vs Draven (meta)</t>
        </is>
      </c>
      <c r="B20" s="773">
        <f>MIN(0.95,MAX(0.05,0.5+((F5-B5)/10)*15+((B6-F6)/MAX(B6,0.01))*20+((B7-0.70))*10+((B9-F9)/2)*8+(B8*8)+((B10-F10)/10)*5))</f>
        <v/>
      </c>
      <c r="C20" s="773">
        <f>MIN(0.95,MAX(0.05,0.5+((F5-C5)/10)*15+((C6-F6)/MAX(C6,0.01))*20+((C7-0.70))*10+((C9-F9)/2)*8+(C8*8)+((C10-F10)/10)*5))</f>
        <v/>
      </c>
      <c r="D20" s="773">
        <f>MIN(0.95,MAX(0.05,0.5+((F5-D5)/10)*15+((D6-F6)/MAX(D6,0.01))*20+((D7-0.70))*10+((D9-F9)/2)*8+(D8*8)+((D10-F10)/10)*5))</f>
        <v/>
      </c>
      <c r="E20" s="773">
        <f>MIN(0.95,MAX(0.05,0.5+((F5-E5)/10)*15+((E6-F6)/MAX(E6,0.01))*20+((E7-0.70))*10+((E9-F9)/2)*8+(E8*8)+((E10-F10)/10)*5))</f>
        <v/>
      </c>
      <c r="I20" s="774" t="inlineStr"/>
      <c r="J20" s="97" t="inlineStr">
        <is>
          <t>Draven meta: ASSAULT flood, draws on wins. Whoever runs hotter on combat pump reactions.</t>
        </is>
      </c>
    </row>
    <row r="21" ht="28" customHeight="1">
      <c r="A21" s="772" t="inlineStr">
        <is>
          <t>vs Irelia (meta)</t>
        </is>
      </c>
      <c r="B21" s="773">
        <f>MIN(0.95,MAX(0.05,0.5+((G5-B5)/10)*15+((B6-G6)/MAX(B6,0.01))*20+((B7-0.70))*10+((B9-G9)/2)*8+(B8*8)+((B10-G10)/10)*5))</f>
        <v/>
      </c>
      <c r="C21" s="773">
        <f>MIN(0.95,MAX(0.05,0.5+((G5-C5)/10)*15+((C6-G6)/MAX(C6,0.01))*20+((C7-0.70))*10+((C9-G9)/2)*8+(C8*8)+((C10-G10)/10)*5))</f>
        <v/>
      </c>
      <c r="D21" s="773">
        <f>MIN(0.95,MAX(0.05,0.5+((G5-D5)/10)*15+((D6-G6)/MAX(D6,0.01))*20+((D7-0.70))*10+((D9-G9)/2)*8+(D8*8)+((D10-G10)/10)*5))</f>
        <v/>
      </c>
      <c r="E21" s="773">
        <f>MIN(0.95,MAX(0.05,0.5+((G5-E5)/10)*15+((E6-G6)/MAX(E6,0.01))*20+((E7-0.70))*10+((E9-G9)/2)*8+(E8*8)+((E10-G10)/10)*5))</f>
        <v/>
      </c>
      <c r="I21" s="774" t="inlineStr"/>
      <c r="J21" s="97" t="inlineStr">
        <is>
          <t>Irelia meta: one protected big unit, double-conquer. Flood decks win by going around her.</t>
        </is>
      </c>
    </row>
    <row r="22" ht="28" customHeight="1">
      <c r="A22" s="772" t="inlineStr">
        <is>
          <t>vs Ezreal (meta)</t>
        </is>
      </c>
      <c r="B22" s="773">
        <f>MIN(0.95,MAX(0.05,0.5+((H5-B5)/10)*15+((B6-H6)/MAX(B6,0.01))*20+((B7-0.70))*10+((B9-H9)/2)*8+(B8*8)+((B10-H10)/10)*5))</f>
        <v/>
      </c>
      <c r="C22" s="773">
        <f>MIN(0.95,MAX(0.05,0.5+((H5-C5)/10)*15+((C6-H6)/MAX(C6,0.01))*20+((C7-0.70))*10+((C9-H9)/2)*8+(C8*8)+((C10-H10)/10)*5))</f>
        <v/>
      </c>
      <c r="D22" s="773">
        <f>MIN(0.95,MAX(0.05,0.5+((H5-D5)/10)*15+((D6-H6)/MAX(D6,0.01))*20+((D7-0.70))*10+((D9-H9)/2)*8+(D8*8)+((D10-H10)/10)*5))</f>
        <v/>
      </c>
      <c r="E22" s="773">
        <f>MIN(0.95,MAX(0.05,0.5+((H5-E5)/10)*15+((E6-H6)/MAX(E6,0.01))*20+((E7-0.70))*10+((E9-H9)/2)*8+(E8*8)+((E10-H10)/10)*5))</f>
        <v/>
      </c>
      <c r="I22" s="774" t="inlineStr"/>
      <c r="J22" s="97" t="inlineStr">
        <is>
          <t>Ezreal meta: reactive draw engine. Passive scorers and fast decks win before he sets up.</t>
        </is>
      </c>
    </row>
    <row r="23" ht="28" customHeight="1">
      <c r="A23" s="772" t="inlineStr">
        <is>
          <t>vs Draven (ours)</t>
        </is>
      </c>
      <c r="B23" s="773">
        <f>MIN(0.95,MAX(0.05,0.5+((E5-B5)/10)*15+((B6-E6)/MAX(B6,0.01))*20+((B7-0.70))*10+((B9-E9)/2)*8+(B8*8)+((B10-E10)/10)*5))</f>
        <v/>
      </c>
      <c r="C23" s="773">
        <f>MIN(0.95,MAX(0.05,0.5+((E5-C5)/10)*15+((C6-E6)/MAX(C6,0.01))*20+((C7-0.70))*10+((C9-E9)/2)*8+(C8*8)+((C10-E10)/10)*5))</f>
        <v/>
      </c>
      <c r="D23" s="773">
        <f>MIN(0.95,MAX(0.05,0.5+((E5-D5)/10)*15+((D6-E6)/MAX(D6,0.01))*20+((D7-0.70))*10+((D9-E9)/2)*8+(D8*8)+((D10-E10)/10)*5))</f>
        <v/>
      </c>
      <c r="E23" s="775" t="inlineStr">
        <is>
          <t>—</t>
        </is>
      </c>
      <c r="I23" s="774" t="inlineStr"/>
      <c r="J23" s="97" t="inlineStr">
        <is>
          <t>Our Draven: ASSAULT + resource domination. Tryndamere bonus scoring. Reckoner traps.</t>
        </is>
      </c>
    </row>
    <row r="24" ht="28" customHeight="1">
      <c r="A24" s="772" t="inlineStr">
        <is>
          <t>vs Azir (ours)</t>
        </is>
      </c>
      <c r="B24" s="775" t="inlineStr">
        <is>
          <t>—</t>
        </is>
      </c>
      <c r="C24" s="773">
        <f>MIN(0.95,MAX(0.05,0.5+((B5-C5)/10)*15+((C6-B6)/MAX(C6,0.01))*20+((C7-0.70))*10+((C9-B9)/2)*8+(C8*8)+((C10-B10)/10)*5))</f>
        <v/>
      </c>
      <c r="D24" s="773">
        <f>MIN(0.95,MAX(0.05,0.5+((B5-D5)/10)*15+((D6-B6)/MAX(D6,0.01))*20+((D7-0.70))*10+((D9-B9)/2)*8+(D8*8)+((D10-B10)/10)*5))</f>
        <v/>
      </c>
      <c r="E24" s="773">
        <f>MIN(0.95,MAX(0.05,0.5+((B5-E5)/10)*15+((E6-B6)/MAX(E6,0.01))*20+((E7-0.70))*10+((E9-B9)/2)*8+(E8*8)+((E10-B10)/10)*5))</f>
        <v/>
      </c>
      <c r="I24" s="774" t="inlineStr"/>
      <c r="J24" s="97" t="inlineStr">
        <is>
          <t>Our Azir: token flood + soldier generation. Overwhelms control, loses to ASSAULT speed.</t>
        </is>
      </c>
    </row>
    <row r="25" ht="28" customHeight="1">
      <c r="A25" s="772" t="inlineStr">
        <is>
          <t>vs Voli (ours)</t>
        </is>
      </c>
      <c r="B25" s="773">
        <f>MIN(0.95,MAX(0.05,0.5+((C5-B5)/10)*15+((B6-C6)/MAX(B6,0.01))*20+((B7-0.70))*10+((B9-C9)/2)*8+(B8*8)+((B10-C10)/10)*5))</f>
        <v/>
      </c>
      <c r="C25" s="775" t="inlineStr">
        <is>
          <t>—</t>
        </is>
      </c>
      <c r="D25" s="773">
        <f>MIN(0.95,MAX(0.05,0.5+((C5-D5)/10)*15+((D6-C6)/MAX(D6,0.01))*20+((D7-0.70))*10+((D9-C9)/2)*8+(D8*8)+((D10-C10)/10)*5))</f>
        <v/>
      </c>
      <c r="E25" s="773">
        <f>MIN(0.95,MAX(0.05,0.5+((C5-E5)/10)*15+((E6-C6)/MAX(E6,0.01))*20+((E7-0.70))*10+((E9-C9)/2)*8+(E8*8)+((E10-C10)/10)*5))</f>
        <v/>
      </c>
      <c r="I25" s="774" t="inlineStr"/>
      <c r="J25" s="97" t="inlineStr">
        <is>
          <t>Our Voli: slow ramp, 9M dragon turn 5-6. Fast decks score before dragon lands.</t>
        </is>
      </c>
    </row>
    <row r="26" ht="28" customHeight="1">
      <c r="A26" s="772" t="inlineStr">
        <is>
          <t>vs MF (ours)</t>
        </is>
      </c>
      <c r="B26" s="773">
        <f>MIN(0.95,MAX(0.05,0.5+((D5-B5)/10)*15+((B6-D6)/MAX(B6,0.01))*20+((B7-0.70))*10+((B9-D9)/2)*8+(B8*8)+((B10-D10)/10)*5))</f>
        <v/>
      </c>
      <c r="C26" s="773">
        <f>MIN(0.95,MAX(0.05,0.5+((D5-C5)/10)*15+((C6-D6)/MAX(C6,0.01))*20+((C7-0.70))*10+((C9-D9)/2)*8+(C8*8)+((C10-D10)/10)*5))</f>
        <v/>
      </c>
      <c r="D26" s="775" t="inlineStr">
        <is>
          <t>—</t>
        </is>
      </c>
      <c r="E26" s="773">
        <f>MIN(0.95,MAX(0.05,0.5+((D5-E5)/10)*15+((E6-D6)/MAX(E6,0.01))*20+((E7-0.70))*10+((E9-D9)/2)*8+(E8*8)+((E10-D10)/10)*5))</f>
        <v/>
      </c>
      <c r="I26" s="774" t="inlineStr"/>
      <c r="J26" s="97" t="inlineStr">
        <is>
          <t>Our MF: Trinity passive + GANKING. Consistent mid-range scorer. Hard to pin down.</t>
        </is>
      </c>
    </row>
    <row r="27" ht="20" customHeight="1">
      <c r="A27" s="821" t="inlineStr">
        <is>
          <t>META AVG G1 (vs Draven/Irelia/Ezreal)</t>
        </is>
      </c>
      <c r="B27" s="777">
        <f>AVERAGE(B20:B22)</f>
        <v/>
      </c>
      <c r="C27" s="777">
        <f>AVERAGE(C20:C22)</f>
        <v/>
      </c>
      <c r="D27" s="777">
        <f>AVERAGE(D20:D22)</f>
        <v/>
      </c>
      <c r="E27" s="777">
        <f>AVERAGE(E20:E22)</f>
        <v/>
      </c>
      <c r="F27" s="822" t="inlineStr"/>
      <c r="G27" s="822" t="inlineStr"/>
      <c r="H27" s="822" t="inlineStr"/>
      <c r="I27" s="822" t="inlineStr"/>
      <c r="J27" s="822" t="inlineStr"/>
    </row>
    <row r="28" ht="20" customHeight="1">
      <c r="A28" s="766" t="inlineStr">
        <is>
          <t>OVERALL AVG G1 (all matchups)</t>
        </is>
      </c>
      <c r="B28" s="779">
        <f>AVERAGE(B20:B26)</f>
        <v/>
      </c>
      <c r="C28" s="779">
        <f>AVERAGE(C20:C26)</f>
        <v/>
      </c>
      <c r="D28" s="779">
        <f>AVERAGE(D20:D26)</f>
        <v/>
      </c>
      <c r="E28" s="779">
        <f>AVERAGE(E20:E26)</f>
        <v/>
      </c>
      <c r="F28" s="771" t="inlineStr"/>
      <c r="G28" s="771" t="inlineStr"/>
      <c r="H28" s="771" t="inlineStr"/>
      <c r="I28" s="771" t="inlineStr"/>
      <c r="J28" s="771" t="inlineStr"/>
    </row>
    <row r="29" ht="6" customHeight="1">
      <c r="A29" s="794" t="inlineStr"/>
      <c r="B29" s="794" t="inlineStr"/>
      <c r="C29" s="794" t="inlineStr"/>
      <c r="D29" s="794" t="inlineStr"/>
      <c r="E29" s="794" t="inlineStr"/>
      <c r="F29" s="794" t="inlineStr"/>
      <c r="G29" s="794" t="inlineStr"/>
      <c r="H29" s="794" t="inlineStr"/>
      <c r="I29" s="794" t="inlineStr"/>
      <c r="J29" s="794" t="inlineStr"/>
    </row>
    <row r="30" ht="20" customHeight="1">
      <c r="A30" s="793" t="inlineStr">
        <is>
          <t>G2 WIN RATES — After Sideboard (formulas auto-adjust from G1 + SB input)</t>
        </is>
      </c>
      <c r="B30" s="794" t="inlineStr"/>
      <c r="C30" s="794" t="inlineStr"/>
      <c r="D30" s="794" t="inlineStr"/>
      <c r="E30" s="794" t="inlineStr"/>
      <c r="F30" s="794" t="inlineStr"/>
      <c r="G30" s="794" t="inlineStr"/>
      <c r="H30" s="794" t="inlineStr"/>
      <c r="I30" s="794" t="inlineStr"/>
      <c r="J30" s="794" t="inlineStr"/>
    </row>
    <row r="31" ht="18" customHeight="1">
      <c r="A31" s="766" t="inlineStr">
        <is>
          <t>My Deck → vs Opponent ↓</t>
        </is>
      </c>
      <c r="B31" s="814" t="inlineStr">
        <is>
          <t>Azir</t>
        </is>
      </c>
      <c r="C31" s="815" t="inlineStr">
        <is>
          <t>Voli</t>
        </is>
      </c>
      <c r="D31" s="816" t="inlineStr">
        <is>
          <t>MF</t>
        </is>
      </c>
      <c r="E31" s="817" t="inlineStr">
        <is>
          <t>Draven</t>
        </is>
      </c>
      <c r="I31" s="771" t="inlineStr"/>
      <c r="J31" s="766" t="inlineStr">
        <is>
          <t>G2 Notes</t>
        </is>
      </c>
    </row>
    <row r="32" ht="28" customHeight="1">
      <c r="A32" s="780" t="inlineStr">
        <is>
          <t>vs Draven (meta)</t>
        </is>
      </c>
      <c r="B32" s="781">
        <f>IF(B20&lt;0.5,MIN(0.95,B20+(B11-B20)*0.7),MIN(0.95,B20+0.05))</f>
        <v/>
      </c>
      <c r="C32" s="781">
        <f>IF(C20&lt;0.5,MIN(0.95,C20+(C11-C20)*0.7),MIN(0.95,C20+0.05))</f>
        <v/>
      </c>
      <c r="D32" s="781">
        <f>IF(D20&lt;0.5,MIN(0.95,D20+(D11-D20)*0.7),MIN(0.95,D20+0.05))</f>
        <v/>
      </c>
      <c r="E32" s="781">
        <f>IF(E20&lt;0.5,MIN(0.95,E20+(E11-E20)*0.7),MIN(0.95,E20+0.05))</f>
        <v/>
      </c>
      <c r="I32" s="782" t="inlineStr"/>
      <c r="J32" s="783" t="inlineStr">
        <is>
          <t>SB: Serrated Dirk + Traveling Merchant. Mirror flip depends on who draws Dirk first.</t>
        </is>
      </c>
    </row>
    <row r="33" ht="28" customHeight="1">
      <c r="A33" s="780" t="inlineStr">
        <is>
          <t>vs Irelia (meta)</t>
        </is>
      </c>
      <c r="B33" s="781">
        <f>IF(B21&lt;0.5,MIN(0.95,B21+(B11-B21)*0.7),MIN(0.95,B21+0.05))</f>
        <v/>
      </c>
      <c r="C33" s="781">
        <f>IF(C21&lt;0.5,MIN(0.95,C21+(C11-C21)*0.7),MIN(0.95,C21+0.05))</f>
        <v/>
      </c>
      <c r="D33" s="781">
        <f>IF(D21&lt;0.5,MIN(0.95,D21+(D11-D21)*0.7),MIN(0.95,D21+0.05))</f>
        <v/>
      </c>
      <c r="E33" s="781">
        <f>IF(E21&lt;0.5,MIN(0.95,E21+(E11-E21)*0.7),MIN(0.95,E21+0.05))</f>
        <v/>
      </c>
      <c r="I33" s="782" t="inlineStr"/>
      <c r="J33" s="783" t="inlineStr">
        <is>
          <t>SB answers Irelia's protected unit more directly. Most decks improve significantly.</t>
        </is>
      </c>
    </row>
    <row r="34" ht="28" customHeight="1">
      <c r="A34" s="780" t="inlineStr">
        <is>
          <t>vs Ezreal (meta)</t>
        </is>
      </c>
      <c r="B34" s="781">
        <f>IF(B22&lt;0.5,MIN(0.95,B22+(B11-B22)*0.7),MIN(0.95,B22+0.05))</f>
        <v/>
      </c>
      <c r="C34" s="781">
        <f>IF(C22&lt;0.5,MIN(0.95,C22+(C11-C22)*0.7),MIN(0.95,C22+0.05))</f>
        <v/>
      </c>
      <c r="D34" s="781">
        <f>IF(D22&lt;0.5,MIN(0.95,D22+(D11-D22)*0.7),MIN(0.95,D22+0.05))</f>
        <v/>
      </c>
      <c r="E34" s="781">
        <f>IF(E22&lt;0.5,MIN(0.95,E22+(E11-E22)*0.7),MIN(0.95,E22+0.05))</f>
        <v/>
      </c>
      <c r="I34" s="782" t="inlineStr"/>
      <c r="J34" s="783" t="inlineStr">
        <is>
          <t>Ezreal is already a weak matchup for him vs fast decks. SB adds little needed.</t>
        </is>
      </c>
    </row>
    <row r="35" ht="28" customHeight="1">
      <c r="A35" s="780" t="inlineStr">
        <is>
          <t>vs Draven (ours)</t>
        </is>
      </c>
      <c r="B35" s="781">
        <f>IF(B23&lt;0.5,MIN(0.95,B23+(B11-B23)*0.7),MIN(0.95,B23+0.05))</f>
        <v/>
      </c>
      <c r="C35" s="781">
        <f>IF(C23&lt;0.5,MIN(0.95,C23+(C11-C23)*0.7),MIN(0.95,C23+0.05))</f>
        <v/>
      </c>
      <c r="D35" s="781">
        <f>IF(D23&lt;0.5,MIN(0.95,D23+(D11-D23)*0.7),MIN(0.95,D23+0.05))</f>
        <v/>
      </c>
      <c r="E35" s="775" t="inlineStr">
        <is>
          <t>—</t>
        </is>
      </c>
      <c r="I35" s="782" t="inlineStr"/>
      <c r="J35" s="783" t="inlineStr">
        <is>
          <t>SB: targeted anti-Draven tools. Traveling Merchant (Draven) vs Draven mirror.</t>
        </is>
      </c>
    </row>
    <row r="36" ht="28" customHeight="1">
      <c r="A36" s="780" t="inlineStr">
        <is>
          <t>vs Azir (ours)</t>
        </is>
      </c>
      <c r="B36" s="775" t="inlineStr">
        <is>
          <t>—</t>
        </is>
      </c>
      <c r="C36" s="781">
        <f>IF(C24&lt;0.5,MIN(0.95,C24+(C11-C24)*0.7),MIN(0.95,C24+0.05))</f>
        <v/>
      </c>
      <c r="D36" s="781">
        <f>IF(D24&lt;0.5,MIN(0.95,D24+(D11-D24)*0.7),MIN(0.95,D24+0.05))</f>
        <v/>
      </c>
      <c r="E36" s="781">
        <f>IF(E24&lt;0.5,MIN(0.95,E24+(E11-E24)*0.7),MIN(0.95,E24+0.05))</f>
        <v/>
      </c>
      <c r="I36" s="782" t="inlineStr"/>
      <c r="J36" s="783" t="inlineStr">
        <is>
          <t>SB: anti-flood tools. Thermo Beam (Voli) wipes Azir equipment. Sandshifter clears soldiers.</t>
        </is>
      </c>
    </row>
    <row r="37" ht="28" customHeight="1">
      <c r="A37" s="780" t="inlineStr">
        <is>
          <t>vs Voli (ours)</t>
        </is>
      </c>
      <c r="B37" s="781">
        <f>IF(B25&lt;0.5,MIN(0.95,B25+(B11-B25)*0.7),MIN(0.95,B25+0.05))</f>
        <v/>
      </c>
      <c r="C37" s="775" t="inlineStr">
        <is>
          <t>—</t>
        </is>
      </c>
      <c r="D37" s="781">
        <f>IF(D25&lt;0.5,MIN(0.95,D25+(D11-D25)*0.7),MIN(0.95,D25+0.05))</f>
        <v/>
      </c>
      <c r="E37" s="781">
        <f>IF(E25&lt;0.5,MIN(0.95,E25+(E11-E25)*0.7),MIN(0.95,E25+0.05))</f>
        <v/>
      </c>
      <c r="I37" s="782" t="inlineStr"/>
      <c r="J37" s="783" t="inlineStr">
        <is>
          <t>SB: dragon answers. Sky Splitter kills dragon for 2 runes. Fading Memories no-combat kill.</t>
        </is>
      </c>
    </row>
    <row r="38" ht="28" customHeight="1">
      <c r="A38" s="780" t="inlineStr">
        <is>
          <t>vs MF (ours)</t>
        </is>
      </c>
      <c r="B38" s="781">
        <f>IF(B26&lt;0.5,MIN(0.95,B26+(B11-B26)*0.7),MIN(0.95,B26+0.05))</f>
        <v/>
      </c>
      <c r="C38" s="781">
        <f>IF(C26&lt;0.5,MIN(0.95,C26+(C11-C26)*0.7),MIN(0.95,C26+0.05))</f>
        <v/>
      </c>
      <c r="D38" s="775" t="inlineStr">
        <is>
          <t>—</t>
        </is>
      </c>
      <c r="E38" s="781">
        <f>IF(E26&lt;0.5,MIN(0.95,E26+(E11-E26)*0.7),MIN(0.95,E26+0.05))</f>
        <v/>
      </c>
      <c r="I38" s="782" t="inlineStr"/>
      <c r="J38" s="783" t="inlineStr">
        <is>
          <t>SB: trap MF movement. Reckoner already in main. SB adds more big bodies.</t>
        </is>
      </c>
    </row>
    <row r="39" ht="20" customHeight="1">
      <c r="A39" s="784" t="inlineStr">
        <is>
          <t>META AVG G2 (after SB)</t>
        </is>
      </c>
      <c r="B39" s="785">
        <f>AVERAGE(B32:B34)</f>
        <v/>
      </c>
      <c r="C39" s="785">
        <f>AVERAGE(C32:C34)</f>
        <v/>
      </c>
      <c r="D39" s="785">
        <f>AVERAGE(D32:D34)</f>
        <v/>
      </c>
      <c r="E39" s="785">
        <f>AVERAGE(E32:E34)</f>
        <v/>
      </c>
      <c r="F39" s="786" t="inlineStr"/>
      <c r="G39" s="786" t="inlineStr"/>
      <c r="H39" s="786" t="inlineStr"/>
      <c r="I39" s="786" t="inlineStr"/>
      <c r="J39" s="786" t="inlineStr"/>
    </row>
    <row r="41" ht="20" customHeight="1">
      <c r="A41" s="793" t="inlineStr">
        <is>
          <t>DECK STAT COMPARISON (auto-calculated from input parameters)</t>
        </is>
      </c>
      <c r="B41" s="794" t="inlineStr"/>
      <c r="C41" s="794" t="inlineStr"/>
      <c r="D41" s="794" t="inlineStr"/>
      <c r="E41" s="794" t="inlineStr"/>
      <c r="F41" s="794" t="inlineStr"/>
      <c r="G41" s="794" t="inlineStr"/>
      <c r="H41" s="794" t="inlineStr"/>
      <c r="I41" s="794" t="inlineStr"/>
      <c r="J41" s="794" t="inlineStr"/>
    </row>
    <row r="42" ht="18" customHeight="1">
      <c r="A42" s="811" t="inlineStr">
        <is>
          <t>Metric</t>
        </is>
      </c>
      <c r="B42" s="814" t="inlineStr">
        <is>
          <t>Azir</t>
        </is>
      </c>
      <c r="C42" s="815" t="inlineStr">
        <is>
          <t>Volibear</t>
        </is>
      </c>
      <c r="D42" s="816" t="inlineStr">
        <is>
          <t>Miss Fortune</t>
        </is>
      </c>
      <c r="E42" s="817" t="inlineStr">
        <is>
          <t>Draven</t>
        </is>
      </c>
      <c r="F42" s="811" t="inlineStr"/>
      <c r="G42" s="811" t="inlineStr"/>
      <c r="H42" s="811" t="inlineStr"/>
      <c r="I42" s="811" t="inlineStr"/>
      <c r="J42" s="811" t="inlineStr">
        <is>
          <t>Notes</t>
        </is>
      </c>
    </row>
    <row r="43" ht="22" customHeight="1">
      <c r="A43" s="772" t="inlineStr">
        <is>
          <t>Turns to Win Con</t>
        </is>
      </c>
      <c r="B43" s="788">
        <f>B5</f>
        <v/>
      </c>
      <c r="C43" s="788">
        <f>C5</f>
        <v/>
      </c>
      <c r="D43" s="788">
        <f>D5</f>
        <v/>
      </c>
      <c r="E43" s="788">
        <f>E5</f>
        <v/>
      </c>
      <c r="F43" s="774" t="inlineStr"/>
      <c r="G43" s="774" t="inlineStr"/>
      <c r="H43" s="774" t="inlineStr"/>
      <c r="I43" s="774" t="inlineStr"/>
      <c r="J43" s="97" t="inlineStr">
        <is>
          <t>Lower is better. Draven=4 turns, Voli=7 turns.</t>
        </is>
      </c>
    </row>
    <row r="44" ht="22" customHeight="1">
      <c r="A44" s="772" t="inlineStr">
        <is>
          <t>Peak Might/Field</t>
        </is>
      </c>
      <c r="B44" s="788">
        <f>B6</f>
        <v/>
      </c>
      <c r="C44" s="788">
        <f>C6</f>
        <v/>
      </c>
      <c r="D44" s="788">
        <f>D6</f>
        <v/>
      </c>
      <c r="E44" s="788">
        <f>E6</f>
        <v/>
      </c>
      <c r="F44" s="774" t="inlineStr"/>
      <c r="G44" s="774" t="inlineStr"/>
      <c r="H44" s="774" t="inlineStr"/>
      <c r="I44" s="774" t="inlineStr"/>
      <c r="J44" s="97" t="inlineStr">
        <is>
          <t>Higher = harder to beat in combat. Voli dragon = 9M.</t>
        </is>
      </c>
    </row>
    <row r="45" ht="22" customHeight="1">
      <c r="A45" s="772" t="inlineStr">
        <is>
          <t>Consistency (T5)</t>
        </is>
      </c>
      <c r="B45" s="788">
        <f>TEXT(B7,"0%")</f>
        <v/>
      </c>
      <c r="C45" s="788">
        <f>TEXT(C7,"0%")</f>
        <v/>
      </c>
      <c r="D45" s="788">
        <f>TEXT(D7,"0%")</f>
        <v/>
      </c>
      <c r="E45" s="788">
        <f>TEXT(E7,"0%")</f>
        <v/>
      </c>
      <c r="F45" s="774" t="inlineStr"/>
      <c r="G45" s="774" t="inlineStr"/>
      <c r="H45" s="774" t="inlineStr"/>
      <c r="I45" s="774" t="inlineStr"/>
      <c r="J45" s="97" t="inlineStr">
        <is>
          <t>Chance of hitting key cards by turn 5. Draven highest.</t>
        </is>
      </c>
    </row>
    <row r="46" ht="22" customHeight="1">
      <c r="A46" s="772" t="inlineStr">
        <is>
          <t>Passive Score/Turn</t>
        </is>
      </c>
      <c r="B46" s="788">
        <f>B8</f>
        <v/>
      </c>
      <c r="C46" s="788">
        <f>C8</f>
        <v/>
      </c>
      <c r="D46" s="788">
        <f>D8</f>
        <v/>
      </c>
      <c r="E46" s="788">
        <f>E8</f>
        <v/>
      </c>
      <c r="F46" s="774" t="inlineStr"/>
      <c r="G46" s="774" t="inlineStr"/>
      <c r="H46" s="774" t="inlineStr"/>
      <c r="I46" s="774" t="inlineStr"/>
      <c r="J46" s="97" t="inlineStr">
        <is>
          <t>Free points per turn from passive effects. MF highest (Trinity).</t>
        </is>
      </c>
    </row>
    <row r="47" ht="22" customHeight="1">
      <c r="A47" s="772" t="inlineStr">
        <is>
          <t>Field Coverage</t>
        </is>
      </c>
      <c r="B47" s="788">
        <f>B9</f>
        <v/>
      </c>
      <c r="C47" s="788">
        <f>C9</f>
        <v/>
      </c>
      <c r="D47" s="788">
        <f>D9</f>
        <v/>
      </c>
      <c r="E47" s="788">
        <f>E9</f>
        <v/>
      </c>
      <c r="F47" s="774" t="inlineStr"/>
      <c r="G47" s="774" t="inlineStr"/>
      <c r="H47" s="774" t="inlineStr"/>
      <c r="I47" s="774" t="inlineStr"/>
      <c r="J47" s="97" t="inlineStr">
        <is>
          <t>Fields contested simultaneously. Max 2. Voli = 1.</t>
        </is>
      </c>
    </row>
    <row r="48" ht="22" customHeight="1">
      <c r="A48" s="772" t="inlineStr">
        <is>
          <t>Removal Count</t>
        </is>
      </c>
      <c r="B48" s="788">
        <f>B10</f>
        <v/>
      </c>
      <c r="C48" s="788">
        <f>C10</f>
        <v/>
      </c>
      <c r="D48" s="788">
        <f>D10</f>
        <v/>
      </c>
      <c r="E48" s="788">
        <f>E10</f>
        <v/>
      </c>
      <c r="F48" s="774" t="inlineStr"/>
      <c r="G48" s="774" t="inlineStr"/>
      <c r="H48" s="774" t="inlineStr"/>
      <c r="I48" s="774" t="inlineStr"/>
      <c r="J48" s="97" t="inlineStr">
        <is>
          <t>Spells that kill/bounce enemy units. Voli highest.</t>
        </is>
      </c>
    </row>
    <row r="49" ht="22" customHeight="1">
      <c r="A49" s="772" t="inlineStr">
        <is>
          <t>Speed Rank</t>
        </is>
      </c>
      <c r="B49" s="788">
        <f>RANK(B5,B5:E5,1)</f>
        <v/>
      </c>
      <c r="C49" s="788">
        <f>RANK(C5,B5:E5,1)</f>
        <v/>
      </c>
      <c r="D49" s="788">
        <f>RANK(D5,B5:E5,1)</f>
        <v/>
      </c>
      <c r="E49" s="788">
        <f>RANK(E5,B5:E5,1)</f>
        <v/>
      </c>
      <c r="F49" s="774" t="inlineStr"/>
      <c r="G49" s="774" t="inlineStr"/>
      <c r="H49" s="774" t="inlineStr"/>
      <c r="I49" s="774" t="inlineStr"/>
      <c r="J49" s="97" t="inlineStr">
        <is>
          <t>1=Fastest. Lower speed = higher rank.</t>
        </is>
      </c>
    </row>
    <row r="50" ht="22" customHeight="1">
      <c r="A50" s="772" t="inlineStr">
        <is>
          <t>Power Rank</t>
        </is>
      </c>
      <c r="B50" s="788">
        <f>RANK(B6,B6:E6,0)</f>
        <v/>
      </c>
      <c r="C50" s="788">
        <f>RANK(C6,B6:E6,0)</f>
        <v/>
      </c>
      <c r="D50" s="788">
        <f>RANK(D6,B6:E6,0)</f>
        <v/>
      </c>
      <c r="E50" s="788">
        <f>RANK(E6,B6:E6,0)</f>
        <v/>
      </c>
      <c r="F50" s="774" t="inlineStr"/>
      <c r="G50" s="774" t="inlineStr"/>
      <c r="H50" s="774" t="inlineStr"/>
      <c r="I50" s="774" t="inlineStr"/>
      <c r="J50" s="97" t="inlineStr">
        <is>
          <t>1=Highest Might. Lower = more powerful.</t>
        </is>
      </c>
    </row>
    <row r="52">
      <c r="A52" s="793" t="inlineStr">
        <is>
          <t>HOW TO UPDATE THIS MODEL</t>
        </is>
      </c>
      <c r="B52" s="794" t="inlineStr"/>
      <c r="C52" s="794" t="inlineStr"/>
      <c r="D52" s="794" t="inlineStr"/>
      <c r="E52" s="794" t="inlineStr"/>
      <c r="F52" s="794" t="inlineStr"/>
      <c r="G52" s="794" t="inlineStr"/>
      <c r="H52" s="794" t="inlineStr"/>
      <c r="I52" s="794" t="inlineStr"/>
      <c r="J52" s="794" t="inlineStr"/>
    </row>
    <row r="53" ht="40" customHeight="1">
      <c r="A53" s="823" t="inlineStr">
        <is>
          <t>Update after a session:</t>
        </is>
      </c>
      <c r="B53" s="790" t="inlineStr">
        <is>
          <t>Change the INPUT cells (yellow background) in the parameter table above. All win rates auto-recalculate instantly. No code needed.</t>
        </is>
      </c>
      <c r="C53" s="824" t="inlineStr"/>
      <c r="D53" s="824" t="inlineStr"/>
      <c r="E53" s="824" t="inlineStr"/>
      <c r="F53" s="824" t="inlineStr"/>
      <c r="G53" s="824" t="inlineStr"/>
      <c r="H53" s="824" t="inlineStr"/>
      <c r="I53" s="824" t="inlineStr"/>
      <c r="J53" s="824" t="inlineStr"/>
    </row>
    <row r="54" ht="4" customHeight="1">
      <c r="A54" s="820" t="inlineStr"/>
      <c r="B54" s="820" t="inlineStr"/>
      <c r="C54" s="820" t="inlineStr"/>
      <c r="D54" s="820" t="inlineStr"/>
      <c r="E54" s="820" t="inlineStr"/>
      <c r="F54" s="820" t="inlineStr"/>
      <c r="G54" s="820" t="inlineStr"/>
      <c r="H54" s="820" t="inlineStr"/>
      <c r="I54" s="820" t="inlineStr"/>
      <c r="J54" s="820" t="inlineStr"/>
    </row>
    <row r="55" ht="40" customHeight="1">
      <c r="A55" s="823" t="inlineStr">
        <is>
          <t>To test a new card swap:</t>
        </is>
      </c>
      <c r="B55" s="790" t="inlineStr">
        <is>
          <t>If you swap a card in a deck that affects Speed or Peak Might, update those inputs. Example: replacing Noxus Hopeful with Tryndamere in Draven slightly lowers Speed but adds passive scoring — adjust Speed from 4 to 4.2 and add 0.1 to Passive Score.</t>
        </is>
      </c>
      <c r="C55" s="824" t="inlineStr"/>
      <c r="D55" s="824" t="inlineStr"/>
      <c r="E55" s="824" t="inlineStr"/>
      <c r="F55" s="824" t="inlineStr"/>
      <c r="G55" s="824" t="inlineStr"/>
      <c r="H55" s="824" t="inlineStr"/>
      <c r="I55" s="824" t="inlineStr"/>
      <c r="J55" s="824" t="inlineStr"/>
    </row>
    <row r="56" ht="4" customHeight="1">
      <c r="A56" s="820" t="inlineStr"/>
      <c r="B56" s="820" t="inlineStr"/>
      <c r="C56" s="820" t="inlineStr"/>
      <c r="D56" s="820" t="inlineStr"/>
      <c r="E56" s="820" t="inlineStr"/>
      <c r="F56" s="820" t="inlineStr"/>
      <c r="G56" s="820" t="inlineStr"/>
      <c r="H56" s="820" t="inlineStr"/>
      <c r="I56" s="820" t="inlineStr"/>
      <c r="J56" s="820" t="inlineStr"/>
    </row>
    <row r="57" ht="40" customHeight="1">
      <c r="A57" s="823" t="inlineStr">
        <is>
          <t>To test a new deck (deck 5):</t>
        </is>
      </c>
      <c r="B57" s="790" t="inlineStr">
        <is>
          <t>Add a new column (I). Fill in all 7 parameter rows with yellow background. Add matchup rows using the formula pattern: =MIN(0.95,MAX(0.05,0.5+(opp_speed-my_speed)/10*15+...))</t>
        </is>
      </c>
      <c r="C57" s="824" t="inlineStr"/>
      <c r="D57" s="824" t="inlineStr"/>
      <c r="E57" s="824" t="inlineStr"/>
      <c r="F57" s="824" t="inlineStr"/>
      <c r="G57" s="824" t="inlineStr"/>
      <c r="H57" s="824" t="inlineStr"/>
      <c r="I57" s="824" t="inlineStr"/>
      <c r="J57" s="824" t="inlineStr"/>
    </row>
    <row r="58" ht="4" customHeight="1">
      <c r="A58" s="820" t="inlineStr"/>
      <c r="B58" s="820" t="inlineStr"/>
      <c r="C58" s="820" t="inlineStr"/>
      <c r="D58" s="820" t="inlineStr"/>
      <c r="E58" s="820" t="inlineStr"/>
      <c r="F58" s="820" t="inlineStr"/>
      <c r="G58" s="820" t="inlineStr"/>
      <c r="H58" s="820" t="inlineStr"/>
      <c r="I58" s="820" t="inlineStr"/>
      <c r="J58" s="820" t="inlineStr"/>
    </row>
    <row r="59" ht="40" customHeight="1">
      <c r="A59" s="823" t="inlineStr">
        <is>
          <t>To calibrate after real games:</t>
        </is>
      </c>
      <c r="B59" s="790" t="inlineStr">
        <is>
          <t>After playing 10+ games in a matchup, update the input parameters to match what you observed. If Draven is actually winning 70% vs Azir instead of the calculated rate, increase Draven's Peak Might by 0.5 or decrease Azir's Field Coverage.</t>
        </is>
      </c>
      <c r="C59" s="824" t="inlineStr"/>
      <c r="D59" s="824" t="inlineStr"/>
      <c r="E59" s="824" t="inlineStr"/>
      <c r="F59" s="824" t="inlineStr"/>
      <c r="G59" s="824" t="inlineStr"/>
      <c r="H59" s="824" t="inlineStr"/>
      <c r="I59" s="824" t="inlineStr"/>
      <c r="J59" s="824" t="inlineStr"/>
    </row>
    <row r="60" ht="4" customHeight="1">
      <c r="A60" s="820" t="inlineStr"/>
      <c r="B60" s="820" t="inlineStr"/>
      <c r="C60" s="820" t="inlineStr"/>
      <c r="D60" s="820" t="inlineStr"/>
      <c r="E60" s="820" t="inlineStr"/>
      <c r="F60" s="820" t="inlineStr"/>
      <c r="G60" s="820" t="inlineStr"/>
      <c r="H60" s="820" t="inlineStr"/>
      <c r="I60" s="820" t="inlineStr"/>
      <c r="J60" s="820" t="inlineStr"/>
    </row>
    <row r="61" ht="40" customHeight="1">
      <c r="A61" s="823" t="inlineStr">
        <is>
          <t>SB effectiveness input (row 11):</t>
        </is>
      </c>
      <c r="B61" s="790" t="inlineStr">
        <is>
          <t>Set to the expected G2 win rate for your hardest matchup. Draven vs Voli: with Sky Splitter G2 = 0.65. If Sky Splitter consistently kills the dragon, increase to 0.72.</t>
        </is>
      </c>
      <c r="C61" s="824" t="inlineStr"/>
      <c r="D61" s="824" t="inlineStr"/>
      <c r="E61" s="824" t="inlineStr"/>
      <c r="F61" s="824" t="inlineStr"/>
      <c r="G61" s="824" t="inlineStr"/>
      <c r="H61" s="824" t="inlineStr"/>
      <c r="I61" s="824" t="inlineStr"/>
      <c r="J61" s="824" t="inlineStr"/>
    </row>
    <row r="62" ht="4" customHeight="1">
      <c r="A62" s="820" t="inlineStr"/>
      <c r="B62" s="820" t="inlineStr"/>
      <c r="C62" s="820" t="inlineStr"/>
      <c r="D62" s="820" t="inlineStr"/>
      <c r="E62" s="820" t="inlineStr"/>
      <c r="F62" s="820" t="inlineStr"/>
      <c r="G62" s="820" t="inlineStr"/>
      <c r="H62" s="820" t="inlineStr"/>
      <c r="I62" s="820" t="inlineStr"/>
      <c r="J62" s="820" t="inlineStr"/>
    </row>
    <row r="64" ht="20" customHeight="1">
      <c r="A64" s="793" t="inlineStr">
        <is>
          <t>REAL TOURNAMENT META — Spiritforged (updated March 2026)</t>
        </is>
      </c>
      <c r="B64" s="794" t="inlineStr"/>
      <c r="C64" s="794" t="inlineStr"/>
      <c r="D64" s="794" t="inlineStr"/>
      <c r="E64" s="794" t="inlineStr"/>
      <c r="F64" s="794" t="inlineStr"/>
      <c r="G64" s="794" t="inlineStr"/>
      <c r="H64" s="794" t="inlineStr"/>
      <c r="I64" s="795" t="inlineStr">
        <is>
          <t>Source</t>
        </is>
      </c>
      <c r="J64" s="795" t="inlineStr">
        <is>
          <t>Last Updated</t>
        </is>
      </c>
    </row>
    <row r="65" ht="16" customHeight="1">
      <c r="A65" s="796" t="inlineStr">
        <is>
          <t>Sources: riftbound.gg, riftdecks.com, mobalytics.gg/riftbound — 6 Regional Qualifiers (Fuzhou, Chengdu, Dalian, Bologna, Vegas + SCGCon) + 1289 tournaments tracked</t>
        </is>
      </c>
      <c r="B65" s="797" t="inlineStr"/>
      <c r="C65" s="797" t="inlineStr"/>
      <c r="D65" s="797" t="inlineStr"/>
      <c r="E65" s="797" t="inlineStr"/>
      <c r="F65" s="797" t="inlineStr"/>
      <c r="G65" s="797" t="inlineStr"/>
      <c r="H65" s="797" t="inlineStr"/>
      <c r="I65" s="797" t="inlineStr"/>
      <c r="J65" s="797" t="inlineStr"/>
    </row>
    <row r="66" ht="18" customHeight="1">
      <c r="A66" s="798" t="inlineStr">
        <is>
          <t>Legend</t>
        </is>
      </c>
      <c r="B66" s="798" t="inlineStr">
        <is>
          <t>Tier</t>
        </is>
      </c>
      <c r="C66" s="798" t="inlineStr">
        <is>
          <t>Colors</t>
        </is>
      </c>
      <c r="D66" s="798" t="inlineStr">
        <is>
          <t>Tournament Win Rate</t>
        </is>
      </c>
      <c r="E66" s="798" t="inlineStr">
        <is>
          <t>Conversion Rate</t>
        </is>
      </c>
      <c r="F66" s="798" t="inlineStr">
        <is>
          <t>Metashare</t>
        </is>
      </c>
      <c r="G66" s="798" t="inlineStr">
        <is>
          <t>Top 8 Appearances</t>
        </is>
      </c>
      <c r="H66" s="798" t="inlineStr">
        <is>
          <t>Tournament Results</t>
        </is>
      </c>
      <c r="I66" s="798" t="inlineStr">
        <is>
          <t>Archetype</t>
        </is>
      </c>
      <c r="J66" s="798" t="inlineStr">
        <is>
          <t>Notes / How They Win</t>
        </is>
      </c>
    </row>
    <row r="67" ht="38" customHeight="1">
      <c r="A67" s="799" t="inlineStr">
        <is>
          <t>Draven</t>
        </is>
      </c>
      <c r="B67" s="800" t="inlineStr">
        <is>
          <t>S-Tier</t>
        </is>
      </c>
      <c r="C67" s="801" t="inlineStr">
        <is>
          <t>Fury+Chaos</t>
        </is>
      </c>
      <c r="D67" s="802" t="inlineStr">
        <is>
          <t>64.3%</t>
        </is>
      </c>
      <c r="E67" s="802" t="inlineStr">
        <is>
          <t>37.0%</t>
        </is>
      </c>
      <c r="F67" s="801" t="inlineStr">
        <is>
          <t>18.0%</t>
        </is>
      </c>
      <c r="G67" s="803" t="inlineStr">
        <is>
          <t>All 4 Vegas semis</t>
        </is>
      </c>
      <c r="H67" s="217" t="inlineStr">
        <is>
          <t>Won Vegas, Fuzhou, Chengdu. 6/6 regional top 8s.</t>
        </is>
      </c>
      <c r="I67" s="217" t="inlineStr">
        <is>
          <t>Midrange / Miracle</t>
        </is>
      </c>
      <c r="J67" s="217" t="inlineStr">
        <is>
          <t>Win combat = draw 1. Two archetypes: Midrange (equipment) + Miracle (Ezreal Prodigy, Rhasa, Battering Ram). Hardest deck to prepare for because both builds are viable.</t>
        </is>
      </c>
    </row>
    <row r="68" ht="38" customHeight="1">
      <c r="A68" s="799" t="inlineStr">
        <is>
          <t>Irelia</t>
        </is>
      </c>
      <c r="B68" s="800" t="inlineStr">
        <is>
          <t>S-Tier</t>
        </is>
      </c>
      <c r="C68" s="801" t="inlineStr">
        <is>
          <t>Calm+Chaos</t>
        </is>
      </c>
      <c r="D68" s="802" t="inlineStr">
        <is>
          <t>58.0%</t>
        </is>
      </c>
      <c r="E68" s="802" t="inlineStr">
        <is>
          <t>16.4%</t>
        </is>
      </c>
      <c r="F68" s="801" t="inlineStr">
        <is>
          <t>14.0%</t>
        </is>
      </c>
      <c r="G68" s="803" t="inlineStr">
        <is>
          <t>Every regional top 8</t>
        </is>
      </c>
      <c r="H68" s="217" t="inlineStr">
        <is>
          <t>0-6 in finals but consistent top cut. Best pick for Day 2 invite.</t>
        </is>
      </c>
      <c r="I68" s="217" t="inlineStr">
        <is>
          <t>Protect the Queen</t>
        </is>
      </c>
      <c r="J68" s="217" t="inlineStr">
        <is>
          <t>One protected unit with Guardian Angel + Zhonya. Defiant Dance + En Garde + Not So Fast protect it. Legend readies unit for double-attack. 0 for 6 making finals but best conversion after Draven.</t>
        </is>
      </c>
    </row>
    <row r="69" ht="38" customHeight="1">
      <c r="A69" s="799" t="inlineStr">
        <is>
          <t>Ezreal</t>
        </is>
      </c>
      <c r="B69" s="800" t="inlineStr">
        <is>
          <t>S-Tier</t>
        </is>
      </c>
      <c r="C69" s="801" t="inlineStr">
        <is>
          <t>Mind+Chaos</t>
        </is>
      </c>
      <c r="D69" s="802" t="inlineStr">
        <is>
          <t>61.0%</t>
        </is>
      </c>
      <c r="E69" s="802" t="inlineStr">
        <is>
          <t>22.0%</t>
        </is>
      </c>
      <c r="F69" s="801" t="inlineStr">
        <is>
          <t>12.0%</t>
        </is>
      </c>
      <c r="G69" s="803" t="inlineStr">
        <is>
          <t>Won Bologna undefeated</t>
        </is>
      </c>
      <c r="H69" s="217" t="inlineStr">
        <is>
          <t>Bologna winner (undefeated). Vegas Top 8. Rising each tournament.</t>
        </is>
      </c>
      <c r="I69" s="217" t="inlineStr">
        <is>
          <t>Spell Control</t>
        </is>
      </c>
      <c r="J69" s="217" t="inlineStr">
        <is>
          <t>Free rune from Kai'Sa legend for spells. Control board with Hextech Ray/Falling Star. Ravenbloom Student grows from spells. Combo version uses Called Shot + Ezreal Prodigy for massive trash-based turns.</t>
        </is>
      </c>
    </row>
    <row r="70" ht="38" customHeight="1">
      <c r="A70" s="804" t="inlineStr">
        <is>
          <t>Kai'Sa</t>
        </is>
      </c>
      <c r="B70" s="805" t="inlineStr">
        <is>
          <t>Tier 1</t>
        </is>
      </c>
      <c r="C70" s="806" t="inlineStr">
        <is>
          <t>Fury+Mind</t>
        </is>
      </c>
      <c r="D70" s="807" t="inlineStr">
        <is>
          <t>50.4%</t>
        </is>
      </c>
      <c r="E70" s="807" t="inlineStr">
        <is>
          <t>19.0%</t>
        </is>
      </c>
      <c r="F70" s="806" t="inlineStr">
        <is>
          <t>15.0%</t>
        </is>
      </c>
      <c r="G70" s="808" t="inlineStr">
        <is>
          <t>4/4 SCGCon top 8s</t>
        </is>
      </c>
      <c r="H70" s="75" t="inlineStr">
        <is>
          <t>Won Dalian. Dominated SCGCon (4 of 8 top spots). Falling off vs Miracle.</t>
        </is>
      </c>
      <c r="I70" s="75" t="inlineStr">
        <is>
          <t>Spell Removal</t>
        </is>
      </c>
      <c r="J70" s="75" t="inlineStr">
        <is>
          <t>Legend adds 1 Power for spells. Hextech Ray + Falling Star + Piercing Light kill units efficiently. Best control pick against Draven midrange. Struggles vs Miracle builds.</t>
        </is>
      </c>
    </row>
    <row r="71" ht="38" customHeight="1">
      <c r="A71" s="804" t="inlineStr">
        <is>
          <t>Master Yi</t>
        </is>
      </c>
      <c r="B71" s="805" t="inlineStr">
        <is>
          <t>Tier 1</t>
        </is>
      </c>
      <c r="C71" s="806" t="inlineStr">
        <is>
          <t>Calm+Body</t>
        </is>
      </c>
      <c r="D71" s="807" t="inlineStr">
        <is>
          <t>55.0%</t>
        </is>
      </c>
      <c r="E71" s="807" t="inlineStr">
        <is>
          <t>18.0%</t>
        </is>
      </c>
      <c r="F71" s="806" t="inlineStr">
        <is>
          <t>10.0%</t>
        </is>
      </c>
      <c r="G71" s="808" t="inlineStr">
        <is>
          <t>Consistent top cuts</t>
        </is>
      </c>
      <c r="H71" s="75" t="inlineStr">
        <is>
          <t>Third best win rate globally. Performs well vs combo/miracle.</t>
        </is>
      </c>
      <c r="I71" s="75" t="inlineStr">
        <is>
          <t>Score Fast</t>
        </is>
      </c>
      <c r="J71" s="75" t="inlineStr">
        <is>
          <t>Scores aggressively early before opponent stabilizes. Does well vs slower miracle builds that start developing later.</t>
        </is>
      </c>
    </row>
    <row r="72" ht="38" customHeight="1">
      <c r="A72" s="804" t="inlineStr">
        <is>
          <t>Viktor</t>
        </is>
      </c>
      <c r="B72" s="805" t="inlineStr">
        <is>
          <t>Tier 1</t>
        </is>
      </c>
      <c r="C72" s="806" t="inlineStr">
        <is>
          <t>Mind+Order</t>
        </is>
      </c>
      <c r="D72" s="807" t="inlineStr">
        <is>
          <t>52.0%</t>
        </is>
      </c>
      <c r="E72" s="807" t="inlineStr">
        <is>
          <t>14.0%</t>
        </is>
      </c>
      <c r="F72" s="806" t="inlineStr">
        <is>
          <t>8.0%</t>
        </is>
      </c>
      <c r="G72" s="808" t="inlineStr">
        <is>
          <t>Multiple top 64s</t>
        </is>
      </c>
      <c r="H72" s="75" t="inlineStr">
        <is>
          <t>Legend makes Recruit tokens. Heavy spell build with Viktor Innovator.</t>
        </is>
      </c>
      <c r="I72" s="75" t="inlineStr">
        <is>
          <t>Token Flood / Spells</t>
        </is>
      </c>
      <c r="J72" s="75" t="inlineStr">
        <is>
          <t>Legend exhaust = 1M Recruit token every turn. Viktor Innovator plays Recruit on opponent's turn. Spell-heavy version uses Jayce + Vanguard Armory gear cheating.</t>
        </is>
      </c>
    </row>
    <row r="73" ht="38" customHeight="1">
      <c r="A73" s="804" t="inlineStr">
        <is>
          <t>Sivir</t>
        </is>
      </c>
      <c r="B73" s="805" t="inlineStr">
        <is>
          <t>Tier 1</t>
        </is>
      </c>
      <c r="C73" s="806" t="inlineStr">
        <is>
          <t>Body+Order</t>
        </is>
      </c>
      <c r="D73" s="807" t="inlineStr">
        <is>
          <t>51.0%</t>
        </is>
      </c>
      <c r="E73" s="807" t="inlineStr">
        <is>
          <t>13.0%</t>
        </is>
      </c>
      <c r="F73" s="806" t="inlineStr">
        <is>
          <t>7.0%</t>
        </is>
      </c>
      <c r="G73" s="808" t="inlineStr">
        <is>
          <t>Top 8 in Bologna</t>
        </is>
      </c>
      <c r="H73" s="75" t="inlineStr">
        <is>
          <t>Best of Sivir at Bologna. Miracle build with OGN-242.</t>
        </is>
      </c>
      <c r="I73" s="75" t="inlineStr">
        <is>
          <t>Miracle / Midrange</t>
        </is>
      </c>
      <c r="J73" s="75" t="inlineStr">
        <is>
          <t>Equipment-heavy. Miracle version uses specific gear combo for explosive turns. Flexible build options.</t>
        </is>
      </c>
    </row>
    <row r="74" ht="38" customHeight="1">
      <c r="A74" s="804" t="inlineStr">
        <is>
          <t>Annie</t>
        </is>
      </c>
      <c r="B74" s="805" t="inlineStr">
        <is>
          <t>Tier 1</t>
        </is>
      </c>
      <c r="C74" s="806" t="inlineStr">
        <is>
          <t>Fury+Chaos</t>
        </is>
      </c>
      <c r="D74" s="807" t="inlineStr">
        <is>
          <t>54.0%</t>
        </is>
      </c>
      <c r="E74" s="807" t="inlineStr">
        <is>
          <t>15.0%</t>
        </is>
      </c>
      <c r="F74" s="806" t="inlineStr">
        <is>
          <t>6.0%</t>
        </is>
      </c>
      <c r="G74" s="808" t="inlineStr">
        <is>
          <t>Top 8 SCGCon, Fuzhou</t>
        </is>
      </c>
      <c r="H74" s="75" t="inlineStr">
        <is>
          <t>Aggressive early scorer. Best beginner-friendly competitive legend.</t>
        </is>
      </c>
      <c r="I74" s="75" t="inlineStr">
        <is>
          <t>Aggro / Tempo</t>
        </is>
      </c>
      <c r="J74" s="75" t="inlineStr">
        <is>
          <t>Legend sets 2 runes Active at end of turn — play spells/reactions during opponent's turn. Score fast before opponent stabilizes. Kai'Sa + Darius as aggressive units.</t>
        </is>
      </c>
    </row>
    <row r="76" ht="20" customHeight="1">
      <c r="A76" s="793" t="inlineStr">
        <is>
          <t>EXPANDED MATCHUP MATRIX — Our 4 Decks vs Top 8 Meta Decks (live formulas)</t>
        </is>
      </c>
      <c r="B76" s="794" t="inlineStr"/>
      <c r="C76" s="794" t="inlineStr"/>
      <c r="D76" s="794" t="inlineStr"/>
      <c r="E76" s="794" t="inlineStr"/>
      <c r="F76" s="794" t="inlineStr"/>
      <c r="G76" s="794" t="inlineStr"/>
      <c r="H76" s="794" t="inlineStr"/>
      <c r="I76" s="794" t="inlineStr"/>
      <c r="J76" s="794" t="inlineStr"/>
    </row>
    <row r="77" ht="16" customHeight="1">
      <c r="A77" s="796" t="inlineStr">
        <is>
          <t>HOW TO UPDATE: Add new meta decks to the INPUT PARAMETERS table at the top — add columns for each meta deck with their Speed/Might/Consistency values. Win rates below use the same formula as the main matrix. Tune inputs after real games.</t>
        </is>
      </c>
      <c r="B77" s="797" t="inlineStr"/>
      <c r="C77" s="797" t="inlineStr"/>
      <c r="D77" s="797" t="inlineStr"/>
      <c r="E77" s="797" t="inlineStr"/>
      <c r="F77" s="797" t="inlineStr"/>
      <c r="G77" s="797" t="inlineStr"/>
      <c r="H77" s="797" t="inlineStr"/>
      <c r="I77" s="797" t="inlineStr"/>
      <c r="J77" s="797" t="inlineStr"/>
    </row>
    <row r="78" ht="20" customHeight="1">
      <c r="A78" s="809" t="inlineStr">
        <is>
          <t>META DECK PARAMETERS (fill in yellow — use tournament win rates to calibrate)</t>
        </is>
      </c>
      <c r="B78" s="810" t="inlineStr"/>
      <c r="C78" s="810" t="inlineStr"/>
      <c r="D78" s="810" t="inlineStr"/>
      <c r="E78" s="810" t="inlineStr"/>
      <c r="F78" s="810" t="inlineStr"/>
      <c r="G78" s="810" t="inlineStr"/>
      <c r="H78" s="810" t="inlineStr"/>
      <c r="I78" s="810" t="inlineStr"/>
      <c r="J78" s="810" t="inlineStr"/>
    </row>
    <row r="79" ht="18" customHeight="1">
      <c r="A79" s="811" t="inlineStr">
        <is>
          <t>Parameter</t>
        </is>
      </c>
      <c r="B79" s="811" t="inlineStr">
        <is>
          <t>Draven</t>
        </is>
      </c>
      <c r="C79" s="811" t="inlineStr">
        <is>
          <t>Irelia</t>
        </is>
      </c>
      <c r="D79" s="811" t="inlineStr">
        <is>
          <t>Ezreal</t>
        </is>
      </c>
      <c r="E79" s="811" t="inlineStr">
        <is>
          <t>Kai'Sa</t>
        </is>
      </c>
      <c r="F79" s="811" t="inlineStr">
        <is>
          <t>Master Yi</t>
        </is>
      </c>
      <c r="G79" s="811" t="inlineStr">
        <is>
          <t>Viktor</t>
        </is>
      </c>
      <c r="H79" s="811" t="inlineStr">
        <is>
          <t>Sivir</t>
        </is>
      </c>
      <c r="I79" s="811" t="inlineStr">
        <is>
          <t>Annie</t>
        </is>
      </c>
      <c r="J79" s="811" t="inlineStr"/>
    </row>
    <row r="80" ht="28" customHeight="1">
      <c r="A80" s="812" t="inlineStr">
        <is>
          <t>Speed (turns)</t>
        </is>
      </c>
      <c r="B80" s="813" t="n">
        <v>4</v>
      </c>
      <c r="C80" s="813" t="n">
        <v>5</v>
      </c>
      <c r="D80" s="813" t="n">
        <v>6</v>
      </c>
      <c r="E80" s="813" t="n">
        <v>5</v>
      </c>
      <c r="F80" s="813" t="n">
        <v>4</v>
      </c>
      <c r="G80" s="813" t="n">
        <v>5</v>
      </c>
      <c r="H80" s="813" t="n">
        <v>5</v>
      </c>
      <c r="I80" s="813" t="n">
        <v>3</v>
      </c>
      <c r="J80" s="90" t="inlineStr">
        <is>
          <t>Lower = faster to win condition.</t>
        </is>
      </c>
    </row>
    <row r="81" ht="28" customHeight="1">
      <c r="A81" s="812" t="inlineStr">
        <is>
          <t>Peak Might/Field</t>
        </is>
      </c>
      <c r="B81" s="813" t="n">
        <v>5.5</v>
      </c>
      <c r="C81" s="813" t="n">
        <v>7</v>
      </c>
      <c r="D81" s="813" t="n">
        <v>5</v>
      </c>
      <c r="E81" s="813" t="n">
        <v>5</v>
      </c>
      <c r="F81" s="813" t="n">
        <v>5</v>
      </c>
      <c r="G81" s="813" t="n">
        <v>4.5</v>
      </c>
      <c r="H81" s="813" t="n">
        <v>5.5</v>
      </c>
      <c r="I81" s="813" t="n">
        <v>4.5</v>
      </c>
      <c r="J81" s="90" t="inlineStr">
        <is>
          <t>Higher = harder to beat in combat.</t>
        </is>
      </c>
    </row>
    <row r="82" ht="28" customHeight="1">
      <c r="A82" s="812" t="inlineStr">
        <is>
          <t>Consistency % T5</t>
        </is>
      </c>
      <c r="B82" s="813" t="n">
        <v>0.78</v>
      </c>
      <c r="C82" s="813" t="n">
        <v>0.72</v>
      </c>
      <c r="D82" s="813" t="n">
        <v>0.75</v>
      </c>
      <c r="E82" s="813" t="n">
        <v>0.72</v>
      </c>
      <c r="F82" s="813" t="n">
        <v>0.7</v>
      </c>
      <c r="G82" s="813" t="n">
        <v>0.68</v>
      </c>
      <c r="H82" s="813" t="n">
        <v>0.7</v>
      </c>
      <c r="I82" s="813" t="n">
        <v>0.76</v>
      </c>
      <c r="J82" s="90" t="inlineStr">
        <is>
          <t>Decimal. Based on tournament conversion rates.</t>
        </is>
      </c>
    </row>
    <row r="83" ht="28" customHeight="1">
      <c r="A83" s="812" t="inlineStr">
        <is>
          <t>Passive Score/Turn</t>
        </is>
      </c>
      <c r="B83" s="813" t="n">
        <v>0</v>
      </c>
      <c r="C83" s="813" t="n">
        <v>0</v>
      </c>
      <c r="D83" s="813" t="n">
        <v>0.2</v>
      </c>
      <c r="E83" s="813" t="n">
        <v>0</v>
      </c>
      <c r="F83" s="813" t="n">
        <v>0.5</v>
      </c>
      <c r="G83" s="813" t="n">
        <v>0.3</v>
      </c>
      <c r="H83" s="813" t="n">
        <v>0</v>
      </c>
      <c r="I83" s="813" t="n">
        <v>0</v>
      </c>
      <c r="J83" s="90" t="inlineStr">
        <is>
          <t>Free points from passive effects.</t>
        </is>
      </c>
    </row>
    <row r="84" ht="28" customHeight="1">
      <c r="A84" s="812" t="inlineStr">
        <is>
          <t>Field Coverage (0-2)</t>
        </is>
      </c>
      <c r="B84" s="813" t="n">
        <v>1.9</v>
      </c>
      <c r="C84" s="813" t="n">
        <v>1</v>
      </c>
      <c r="D84" s="813" t="n">
        <v>1.6</v>
      </c>
      <c r="E84" s="813" t="n">
        <v>1.8</v>
      </c>
      <c r="F84" s="813" t="n">
        <v>1.7</v>
      </c>
      <c r="G84" s="813" t="n">
        <v>1.9</v>
      </c>
      <c r="H84" s="813" t="n">
        <v>1.5</v>
      </c>
      <c r="I84" s="813" t="n">
        <v>1.8</v>
      </c>
      <c r="J84" s="90" t="inlineStr">
        <is>
          <t>How many fields contested simultaneously.</t>
        </is>
      </c>
    </row>
    <row r="85" ht="28" customHeight="1">
      <c r="A85" s="812" t="inlineStr">
        <is>
          <t>Removal Count</t>
        </is>
      </c>
      <c r="B85" s="813" t="n">
        <v>0.5</v>
      </c>
      <c r="C85" s="813" t="n">
        <v>1.5</v>
      </c>
      <c r="D85" s="813" t="n">
        <v>3</v>
      </c>
      <c r="E85" s="813" t="n">
        <v>3.5</v>
      </c>
      <c r="F85" s="813" t="n">
        <v>1</v>
      </c>
      <c r="G85" s="813" t="n">
        <v>1.5</v>
      </c>
      <c r="H85" s="813" t="n">
        <v>2</v>
      </c>
      <c r="I85" s="813" t="n">
        <v>1</v>
      </c>
      <c r="J85" s="90" t="inlineStr">
        <is>
          <t>Spells that kill/bounce enemy units.</t>
        </is>
      </c>
    </row>
    <row r="86" ht="28" customHeight="1">
      <c r="A86" s="812" t="inlineStr">
        <is>
          <t>SB Effectiveness</t>
        </is>
      </c>
      <c r="B86" s="813" t="n">
        <v>0.6</v>
      </c>
      <c r="C86" s="813" t="n">
        <v>0.65</v>
      </c>
      <c r="D86" s="813" t="n">
        <v>0.58</v>
      </c>
      <c r="E86" s="813" t="n">
        <v>0.62</v>
      </c>
      <c r="F86" s="813" t="n">
        <v>0.58</v>
      </c>
      <c r="G86" s="813" t="n">
        <v>0.58</v>
      </c>
      <c r="H86" s="813" t="n">
        <v>0.6</v>
      </c>
      <c r="I86" s="813" t="n">
        <v>0.62</v>
      </c>
      <c r="J86" s="90" t="inlineStr">
        <is>
          <t>Expected G2 win rate vs hardest matchup after SB.</t>
        </is>
      </c>
    </row>
    <row r="88" ht="18" customHeight="1">
      <c r="A88" s="809" t="inlineStr">
        <is>
          <t>My Deck → vs Meta ↓</t>
        </is>
      </c>
      <c r="B88" s="814" t="inlineStr">
        <is>
          <t>Azir</t>
        </is>
      </c>
      <c r="C88" s="815" t="inlineStr">
        <is>
          <t>Volibear</t>
        </is>
      </c>
      <c r="D88" s="816" t="inlineStr">
        <is>
          <t>Miss Fortune</t>
        </is>
      </c>
      <c r="E88" s="817" t="inlineStr">
        <is>
          <t>Draven</t>
        </is>
      </c>
      <c r="F88" s="810" t="inlineStr"/>
      <c r="G88" s="810" t="inlineStr"/>
      <c r="H88" s="810" t="inlineStr"/>
      <c r="I88" s="810" t="inlineStr"/>
      <c r="J88" s="809" t="inlineStr">
        <is>
          <t>Tournament Context</t>
        </is>
      </c>
    </row>
    <row r="89" ht="32" customHeight="1">
      <c r="A89" s="818" t="inlineStr">
        <is>
          <t>vs Draven (meta)</t>
        </is>
      </c>
      <c r="B89" s="819">
        <f>MIN(0.95,MAX(0.05,0.5+(B80-B5)/10*15+(B6-B81)/MAX(B6,0.01)*20+(B7-0.70)*10+(B9-B84)/2*8+B8*12+(B10-B85)/10*5))</f>
        <v/>
      </c>
      <c r="C89" s="819">
        <f>MIN(0.95,MAX(0.05,0.5+(B80-C5)/10*15+(C6-B81)/MAX(C6,0.01)*20+(C7-0.70)*10+(C9-B84)/2*8+C8*12+(C10-B85)/10*5))</f>
        <v/>
      </c>
      <c r="D89" s="819">
        <f>MIN(0.95,MAX(0.05,0.5+(B80-D5)/10*15+(D6-B81)/MAX(D6,0.01)*20+(D7-0.70)*10+(D9-B84)/2*8+D8*12+(D10-B85)/10*5))</f>
        <v/>
      </c>
      <c r="E89" s="819">
        <f>MIN(0.95,MAX(0.05,0.5+(B80-E5)/10*15+(E6-B81)/MAX(E6,0.01)*20+(E7-0.70)*10+(E9-B84)/2*8+E8*12+(E10-B85)/10*5))</f>
        <v/>
      </c>
      <c r="F89" s="820" t="inlineStr"/>
      <c r="G89" s="820" t="inlineStr"/>
      <c r="H89" s="820" t="inlineStr"/>
      <c r="I89" s="820" t="inlineStr"/>
      <c r="J89" s="685" t="inlineStr">
        <is>
          <t>S-Tier. Won Vegas + Chinese Regionals. 64.3% win rate. Two builds: Midrange (won China) and Miracle (stronger vs control).</t>
        </is>
      </c>
    </row>
    <row r="90" ht="32" customHeight="1">
      <c r="A90" s="818" t="inlineStr">
        <is>
          <t>vs Irelia (meta)</t>
        </is>
      </c>
      <c r="B90" s="819">
        <f>MIN(0.95,MAX(0.05,0.5+(C80-B5)/10*15+(B6-C81)/MAX(B6,0.01)*20+(B7-0.70)*10+(B9-C84)/2*8+B8*12+(B10-C85)/10*5))</f>
        <v/>
      </c>
      <c r="C90" s="819">
        <f>MIN(0.95,MAX(0.05,0.5+(C80-C5)/10*15+(C6-C81)/MAX(C6,0.01)*20+(C7-0.70)*10+(C9-C84)/2*8+C8*12+(C10-C85)/10*5))</f>
        <v/>
      </c>
      <c r="D90" s="819">
        <f>MIN(0.95,MAX(0.05,0.5+(C80-D5)/10*15+(D6-C81)/MAX(D6,0.01)*20+(D7-0.70)*10+(D9-C84)/2*8+D8*12+(D10-C85)/10*5))</f>
        <v/>
      </c>
      <c r="E90" s="819">
        <f>MIN(0.95,MAX(0.05,0.5+(C80-E5)/10*15+(E6-C81)/MAX(E6,0.01)*20+(E7-0.70)*10+(E9-C84)/2*8+E8*12+(E10-C85)/10*5))</f>
        <v/>
      </c>
      <c r="F90" s="820" t="inlineStr"/>
      <c r="G90" s="820" t="inlineStr"/>
      <c r="H90" s="820" t="inlineStr"/>
      <c r="I90" s="820" t="inlineStr"/>
      <c r="J90" s="685" t="inlineStr">
        <is>
          <t>S-Tier. 0-6 in finals but every Top 8. 58% win rate. One unit with Guardian Angel + Zhonya. Hard to remove protected queen.</t>
        </is>
      </c>
    </row>
    <row r="91" ht="32" customHeight="1">
      <c r="A91" s="818" t="inlineStr">
        <is>
          <t>vs Ezreal (meta)</t>
        </is>
      </c>
      <c r="B91" s="819">
        <f>MIN(0.95,MAX(0.05,0.5+(D80-B5)/10*15+(B6-D81)/MAX(B6,0.01)*20+(B7-0.70)*10+(B9-D84)/2*8+B8*12+(B10-D85)/10*5))</f>
        <v/>
      </c>
      <c r="C91" s="819">
        <f>MIN(0.95,MAX(0.05,0.5+(D80-C5)/10*15+(C6-D81)/MAX(C6,0.01)*20+(C7-0.70)*10+(C9-D84)/2*8+C8*12+(C10-D85)/10*5))</f>
        <v/>
      </c>
      <c r="D91" s="819">
        <f>MIN(0.95,MAX(0.05,0.5+(D80-D5)/10*15+(D6-D81)/MAX(D6,0.01)*20+(D7-0.70)*10+(D9-D84)/2*8+D8*12+(D10-D85)/10*5))</f>
        <v/>
      </c>
      <c r="E91" s="819">
        <f>MIN(0.95,MAX(0.05,0.5+(D80-E5)/10*15+(E6-D81)/MAX(E6,0.01)*20+(E7-0.70)*10+(E9-D84)/2*8+E8*12+(E10-D85)/10*5))</f>
        <v/>
      </c>
      <c r="F91" s="820" t="inlineStr"/>
      <c r="G91" s="820" t="inlineStr"/>
      <c r="H91" s="820" t="inlineStr"/>
      <c r="I91" s="820" t="inlineStr"/>
      <c r="J91" s="685" t="inlineStr">
        <is>
          <t>S-Tier. Won Bologna undefeated. Rising each event. Spell control with Ravenbloom Student. Combo variant explosive turns.</t>
        </is>
      </c>
    </row>
    <row r="92" ht="32" customHeight="1">
      <c r="A92" s="818" t="inlineStr">
        <is>
          <t>vs Kai'Sa (meta)</t>
        </is>
      </c>
      <c r="B92" s="819">
        <f>MIN(0.95,MAX(0.05,0.5+(E80-B5)/10*15+(B6-E81)/MAX(B6,0.01)*20+(B7-0.70)*10+(B9-E84)/2*8+B8*12+(B10-E85)/10*5))</f>
        <v/>
      </c>
      <c r="C92" s="819">
        <f>MIN(0.95,MAX(0.05,0.5+(E80-C5)/10*15+(C6-E81)/MAX(C6,0.01)*20+(C7-0.70)*10+(C9-E84)/2*8+C8*12+(C10-E85)/10*5))</f>
        <v/>
      </c>
      <c r="D92" s="819">
        <f>MIN(0.95,MAX(0.05,0.5+(E80-D5)/10*15+(D6-E81)/MAX(D6,0.01)*20+(D7-0.70)*10+(D9-E84)/2*8+D8*12+(D10-E85)/10*5))</f>
        <v/>
      </c>
      <c r="E92" s="819">
        <f>MIN(0.95,MAX(0.05,0.5+(E80-E5)/10*15+(E6-E81)/MAX(E6,0.01)*20+(E7-0.70)*10+(E9-E84)/2*8+E8*12+(E10-E85)/10*5))</f>
        <v/>
      </c>
      <c r="F92" s="820" t="inlineStr"/>
      <c r="G92" s="820" t="inlineStr"/>
      <c r="H92" s="820" t="inlineStr"/>
      <c r="I92" s="820" t="inlineStr"/>
      <c r="J92" s="685" t="inlineStr">
        <is>
          <t>Tier 1. Won Dalian + SCGCon (4/8 spots). 50.4% win rate. Spell removal control. Struggles vs Miracle builds.</t>
        </is>
      </c>
    </row>
    <row r="93" ht="32" customHeight="1">
      <c r="A93" s="818" t="inlineStr">
        <is>
          <t>vs Master Yi (meta)</t>
        </is>
      </c>
      <c r="B93" s="819">
        <f>MIN(0.95,MAX(0.05,0.5+(F80-B5)/10*15+(B6-F81)/MAX(B6,0.01)*20+(B7-0.70)*10+(B9-F84)/2*8+B8*12+(B10-F85)/10*5))</f>
        <v/>
      </c>
      <c r="C93" s="819">
        <f>MIN(0.95,MAX(0.05,0.5+(F80-C5)/10*15+(C6-F81)/MAX(C6,0.01)*20+(C7-0.70)*10+(C9-F84)/2*8+C8*12+(C10-F85)/10*5))</f>
        <v/>
      </c>
      <c r="D93" s="819">
        <f>MIN(0.95,MAX(0.05,0.5+(F80-D5)/10*15+(D6-F81)/MAX(D6,0.01)*20+(D7-0.70)*10+(D9-F84)/2*8+D8*12+(D10-F85)/10*5))</f>
        <v/>
      </c>
      <c r="E93" s="819">
        <f>MIN(0.95,MAX(0.05,0.5+(F80-E5)/10*15+(E6-F81)/MAX(E6,0.01)*20+(E7-0.70)*10+(E9-F84)/2*8+E8*12+(E10-F85)/10*5))</f>
        <v/>
      </c>
      <c r="F93" s="820" t="inlineStr"/>
      <c r="G93" s="820" t="inlineStr"/>
      <c r="H93" s="820" t="inlineStr"/>
      <c r="I93" s="820" t="inlineStr"/>
      <c r="J93" s="685" t="inlineStr">
        <is>
          <t>Tier 1. 3rd best win rate globally. Scores fast. Good vs slower miracle/combo builds.</t>
        </is>
      </c>
    </row>
    <row r="94" ht="32" customHeight="1">
      <c r="A94" s="818" t="inlineStr">
        <is>
          <t>vs Viktor (meta)</t>
        </is>
      </c>
      <c r="B94" s="819">
        <f>MIN(0.95,MAX(0.05,0.5+(G80-B5)/10*15+(B6-G81)/MAX(B6,0.01)*20+(B7-0.70)*10+(B9-G84)/2*8+B8*12+(B10-G85)/10*5))</f>
        <v/>
      </c>
      <c r="C94" s="819">
        <f>MIN(0.95,MAX(0.05,0.5+(G80-C5)/10*15+(C6-G81)/MAX(C6,0.01)*20+(C7-0.70)*10+(C9-G84)/2*8+C8*12+(C10-G85)/10*5))</f>
        <v/>
      </c>
      <c r="D94" s="819">
        <f>MIN(0.95,MAX(0.05,0.5+(G80-D5)/10*15+(D6-G81)/MAX(D6,0.01)*20+(D7-0.70)*10+(D9-G84)/2*8+D8*12+(D10-G85)/10*5))</f>
        <v/>
      </c>
      <c r="E94" s="819">
        <f>MIN(0.95,MAX(0.05,0.5+(G80-E5)/10*15+(E6-G81)/MAX(E6,0.01)*20+(E7-0.70)*10+(E9-G84)/2*8+E8*12+(E10-G85)/10*5))</f>
        <v/>
      </c>
      <c r="F94" s="820" t="inlineStr"/>
      <c r="G94" s="820" t="inlineStr"/>
      <c r="H94" s="820" t="inlineStr"/>
      <c r="I94" s="820" t="inlineStr"/>
      <c r="J94" s="685" t="inlineStr">
        <is>
          <t>Tier 1. Token flood + spells. Heavy spell version cheats gear. Consistent top 64 performer.</t>
        </is>
      </c>
    </row>
    <row r="95" ht="32" customHeight="1">
      <c r="A95" s="818" t="inlineStr">
        <is>
          <t>vs Sivir (meta)</t>
        </is>
      </c>
      <c r="B95" s="819">
        <f>MIN(0.95,MAX(0.05,0.5+(H80-B5)/10*15+(B6-H81)/MAX(B6,0.01)*20+(B7-0.70)*10+(B9-H84)/2*8+B8*12+(B10-H85)/10*5))</f>
        <v/>
      </c>
      <c r="C95" s="819">
        <f>MIN(0.95,MAX(0.05,0.5+(H80-C5)/10*15+(C6-H81)/MAX(C6,0.01)*20+(C7-0.70)*10+(C9-H84)/2*8+C8*12+(C10-H85)/10*5))</f>
        <v/>
      </c>
      <c r="D95" s="819">
        <f>MIN(0.95,MAX(0.05,0.5+(H80-D5)/10*15+(D6-H81)/MAX(D6,0.01)*20+(D7-0.70)*10+(D9-H84)/2*8+D8*12+(D10-H85)/10*5))</f>
        <v/>
      </c>
      <c r="E95" s="819">
        <f>MIN(0.95,MAX(0.05,0.5+(H80-E5)/10*15+(E6-H81)/MAX(E6,0.01)*20+(E7-0.70)*10+(E9-H84)/2*8+E8*12+(E10-H85)/10*5))</f>
        <v/>
      </c>
      <c r="F95" s="820" t="inlineStr"/>
      <c r="G95" s="820" t="inlineStr"/>
      <c r="H95" s="820" t="inlineStr"/>
      <c r="I95" s="820" t="inlineStr"/>
      <c r="J95" s="685" t="inlineStr">
        <is>
          <t>Tier 1. Miracle/Midrange hybrid. OGN-242 combo version. Won best-of at Bologna.</t>
        </is>
      </c>
    </row>
    <row r="96" ht="32" customHeight="1">
      <c r="A96" s="818" t="inlineStr">
        <is>
          <t>vs Annie (meta)</t>
        </is>
      </c>
      <c r="B96" s="819">
        <f>MIN(0.95,MAX(0.05,0.5+(I80-B5)/10*15+(B6-I81)/MAX(B6,0.01)*20+(B7-0.70)*10+(B9-I84)/2*8+B8*12+(B10-I85)/10*5))</f>
        <v/>
      </c>
      <c r="C96" s="819">
        <f>MIN(0.95,MAX(0.05,0.5+(I80-C5)/10*15+(C6-I81)/MAX(C6,0.01)*20+(C7-0.70)*10+(C9-I84)/2*8+C8*12+(C10-I85)/10*5))</f>
        <v/>
      </c>
      <c r="D96" s="819">
        <f>MIN(0.95,MAX(0.05,0.5+(I80-D5)/10*15+(D6-I81)/MAX(D6,0.01)*20+(D7-0.70)*10+(D9-I84)/2*8+D8*12+(D10-I85)/10*5))</f>
        <v/>
      </c>
      <c r="E96" s="819">
        <f>MIN(0.95,MAX(0.05,0.5+(I80-E5)/10*15+(E6-I81)/MAX(E6,0.01)*20+(E7-0.70)*10+(E9-I84)/2*8+E8*12+(E10-I85)/10*5))</f>
        <v/>
      </c>
      <c r="F96" s="820" t="inlineStr"/>
      <c r="G96" s="820" t="inlineStr"/>
      <c r="H96" s="820" t="inlineStr"/>
      <c r="I96" s="820" t="inlineStr"/>
      <c r="J96" s="685" t="inlineStr">
        <is>
          <t>Tier 1. Best beginner aggressive deck. Fury+Chaos like Draven. Rune-setting legend. Scores early and fast.</t>
        </is>
      </c>
    </row>
    <row r="97" ht="20" customHeight="1">
      <c r="A97" s="821" t="inlineStr">
        <is>
          <t>AVG vs Top 8 Meta (our 4 decks)</t>
        </is>
      </c>
      <c r="B97" s="777">
        <f>AVERAGE(B89:B96)</f>
        <v/>
      </c>
      <c r="C97" s="777">
        <f>AVERAGE(C89:C96)</f>
        <v/>
      </c>
      <c r="D97" s="777">
        <f>AVERAGE(D89:D96)</f>
        <v/>
      </c>
      <c r="E97" s="777">
        <f>AVERAGE(E89:E96)</f>
        <v/>
      </c>
      <c r="F97" s="822" t="inlineStr"/>
      <c r="G97" s="822" t="inlineStr"/>
      <c r="H97" s="822" t="inlineStr"/>
      <c r="I97" s="822" t="inlineStr"/>
      <c r="J97" s="822" t="inlineStr"/>
    </row>
    <row r="99" ht="18" customHeight="1">
      <c r="A99" s="793" t="inlineStr">
        <is>
          <t>HOW TO KEEP META DATA UPDATED</t>
        </is>
      </c>
      <c r="B99" s="794" t="inlineStr"/>
      <c r="C99" s="794" t="inlineStr"/>
      <c r="D99" s="794" t="inlineStr"/>
      <c r="E99" s="794" t="inlineStr"/>
      <c r="F99" s="794" t="inlineStr"/>
      <c r="G99" s="794" t="inlineStr"/>
      <c r="H99" s="794" t="inlineStr"/>
      <c r="I99" s="794" t="inlineStr"/>
      <c r="J99" s="794" t="inlineStr"/>
    </row>
    <row r="100" ht="48" customHeight="1">
      <c r="A100" s="823" t="inlineStr">
        <is>
          <t>After every major tournament:</t>
        </is>
      </c>
      <c r="B100" s="790" t="inlineStr">
        <is>
          <t>Visit riftbound.gg/tier-list or riftdecks.com for updated win rates and conversion rates. Update the tournament win rate in column D of the meta table above. Update the META DECK PARAMETERS (yellow cells) to reflect any shifts — if Irelia gets a new card that makes her faster, lower her Speed input from 5 to 4.5.</t>
        </is>
      </c>
      <c r="C100" s="824" t="inlineStr"/>
      <c r="D100" s="824" t="inlineStr"/>
      <c r="E100" s="824" t="inlineStr"/>
      <c r="F100" s="824" t="inlineStr"/>
      <c r="G100" s="824" t="inlineStr"/>
      <c r="H100" s="824" t="inlineStr"/>
      <c r="I100" s="824" t="inlineStr"/>
      <c r="J100" s="824" t="inlineStr"/>
    </row>
    <row r="101" ht="48" customHeight="1">
      <c r="A101" s="823" t="inlineStr">
        <is>
          <t>When a new set releases (next after Spiritforged):</t>
        </is>
      </c>
      <c r="B101" s="790" t="inlineStr">
        <is>
          <t>New legends may enter the meta. Add them as new rows in the meta table. Add their parameters to the META DECK PARAMETERS columns. The formulas auto-extend — just copy a row formula pattern.</t>
        </is>
      </c>
      <c r="C101" s="824" t="inlineStr"/>
      <c r="D101" s="824" t="inlineStr"/>
      <c r="E101" s="824" t="inlineStr"/>
      <c r="F101" s="824" t="inlineStr"/>
      <c r="G101" s="824" t="inlineStr"/>
      <c r="H101" s="824" t="inlineStr"/>
      <c r="I101" s="824" t="inlineStr"/>
      <c r="J101" s="824" t="inlineStr"/>
    </row>
    <row r="102" ht="48" customHeight="1">
      <c r="A102" s="823" t="inlineStr">
        <is>
          <t>If top 8 has duplicate legends:</t>
        </is>
      </c>
      <c r="B102" s="790" t="inlineStr">
        <is>
          <t>Use unique builds as separate entries. Draven Midrange and Draven Miracle are different decks. Give each its own parameter column with slightly different Speed and Peak Might values. Example: Midrange Draven Speed=4, Miracle Draven Speed=5 (slower setup, explosive payoff).</t>
        </is>
      </c>
      <c r="C102" s="824" t="inlineStr"/>
      <c r="D102" s="824" t="inlineStr"/>
      <c r="E102" s="824" t="inlineStr"/>
      <c r="F102" s="824" t="inlineStr"/>
      <c r="G102" s="824" t="inlineStr"/>
      <c r="H102" s="824" t="inlineStr"/>
      <c r="I102" s="824" t="inlineStr"/>
      <c r="J102" s="824" t="inlineStr"/>
    </row>
    <row r="103" ht="48" customHeight="1">
      <c r="A103" s="823" t="inlineStr">
        <is>
          <t>To add 8 unique decks when top 8 has duplicates:</t>
        </is>
      </c>
      <c r="B103" s="790" t="inlineStr">
        <is>
          <t>Prioritize by archetype, not legend name. If Draven fills 4 spots, take the 2 builds plus the next 6 unique legends from the tier list. Goal: 8 mechanically distinct matchups so the simulation covers the full range of strategies you'll face.</t>
        </is>
      </c>
      <c r="C103" s="824" t="inlineStr"/>
      <c r="D103" s="824" t="inlineStr"/>
      <c r="E103" s="824" t="inlineStr"/>
      <c r="F103" s="824" t="inlineStr"/>
      <c r="G103" s="824" t="inlineStr"/>
      <c r="H103" s="824" t="inlineStr"/>
      <c r="I103" s="824" t="inlineStr"/>
      <c r="J103" s="824" t="inlineStr"/>
    </row>
    <row r="104" ht="48" customHeight="1">
      <c r="A104" s="823" t="inlineStr">
        <is>
          <t>Calibrating after real games:</t>
        </is>
      </c>
      <c r="B104" s="790" t="inlineStr">
        <is>
          <t>Most important step. After 10+ games in a matchup, update the parameter that matters most. Lost to Kai'Sa more than expected? Increase her Peak Might from 5.0 to 5.5. Beating Irelia consistently? Raise your own Field Coverage input. The model is only as good as the inputs.</t>
        </is>
      </c>
      <c r="C104" s="824" t="inlineStr"/>
      <c r="D104" s="824" t="inlineStr"/>
      <c r="E104" s="824" t="inlineStr"/>
      <c r="F104" s="824" t="inlineStr"/>
      <c r="G104" s="824" t="inlineStr"/>
      <c r="H104" s="824" t="inlineStr"/>
      <c r="I104" s="824" t="inlineStr"/>
      <c r="J104" s="82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2026-03-19T15:15:59Z</dcterms:created>
  <dcterms:modified xmlns:dcterms="http://purl.org/dc/terms/" xmlns:xsi="http://www.w3.org/2001/XMLSchema-instance" xsi:type="dcterms:W3CDTF">2026-03-19T21:41:56Z</dcterms:modified>
</cp:coreProperties>
</file>